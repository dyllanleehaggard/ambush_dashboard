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" sheetId="1" r:id="rId5"/>
    <sheet state="visible" name="Goalkeeper" sheetId="2" r:id="rId6"/>
    <sheet state="visible" name="PlusMinus" sheetId="3" r:id="rId7"/>
    <sheet state="visible" name="ShotChart" sheetId="4" r:id="rId8"/>
    <sheet state="visible" name="Verbal Takeaways" sheetId="5" r:id="rId9"/>
    <sheet state="visible" name="Hudl Assist Data" sheetId="6" r:id="rId10"/>
  </sheets>
  <definedNames/>
  <calcPr/>
</workbook>
</file>

<file path=xl/sharedStrings.xml><?xml version="1.0" encoding="utf-8"?>
<sst xmlns="http://schemas.openxmlformats.org/spreadsheetml/2006/main" count="1333" uniqueCount="791">
  <si>
    <t>St. Louis Ambush Player</t>
  </si>
  <si>
    <t>#</t>
  </si>
  <si>
    <t>Name</t>
  </si>
  <si>
    <t>Pos</t>
  </si>
  <si>
    <t>G</t>
  </si>
  <si>
    <t>A</t>
  </si>
  <si>
    <t>Pts</t>
  </si>
  <si>
    <t>PIM</t>
  </si>
  <si>
    <t>F</t>
  </si>
  <si>
    <t>SOG</t>
  </si>
  <si>
    <t>BS</t>
  </si>
  <si>
    <t>BC</t>
  </si>
  <si>
    <t>YC</t>
  </si>
  <si>
    <t>RC</t>
  </si>
  <si>
    <t>Sh</t>
  </si>
  <si>
    <t>GP</t>
  </si>
  <si>
    <r>
      <rPr>
        <rFont val="&quot;Roboto Condensed&quot;, Arial, &quot;sans-serif&quot;"/>
        <b/>
        <color rgb="FF1155CC"/>
        <sz val="14.0"/>
        <u/>
      </rPr>
      <t>Duduca Carvalho</t>
    </r>
  </si>
  <si>
    <r>
      <rPr>
        <rFont val="&quot;Roboto Condensed&quot;, Arial, &quot;sans-serif&quot;"/>
        <b/>
        <color rgb="FF1155CC"/>
        <sz val="14.0"/>
        <u/>
      </rPr>
      <t>Lucas Almeida</t>
    </r>
  </si>
  <si>
    <t>M</t>
  </si>
  <si>
    <r>
      <rPr>
        <rFont val="&quot;Roboto Condensed&quot;, Arial, &quot;sans-serif&quot;"/>
        <b/>
        <color rgb="FF1155CC"/>
        <sz val="14.0"/>
        <u/>
      </rPr>
      <t>Daniel Torrealba</t>
    </r>
  </si>
  <si>
    <r>
      <rPr>
        <rFont val="&quot;Roboto Condensed&quot;, Arial, &quot;sans-serif&quot;"/>
        <b/>
        <color rgb="FF1155CC"/>
        <sz val="14.0"/>
        <u/>
      </rPr>
      <t>Raphael Araujo</t>
    </r>
  </si>
  <si>
    <t>D</t>
  </si>
  <si>
    <r>
      <rPr>
        <rFont val="&quot;Roboto Condensed&quot;, Arial, &quot;sans-serif&quot;"/>
        <b/>
        <color rgb="FF1155CC"/>
        <sz val="14.0"/>
        <u/>
      </rPr>
      <t>Jeff Michaud</t>
    </r>
  </si>
  <si>
    <r>
      <rPr>
        <rFont val="&quot;Roboto Condensed&quot;, Arial, &quot;sans-serif&quot;"/>
        <b/>
        <color rgb="FF1155CC"/>
        <sz val="14.0"/>
        <u/>
      </rPr>
      <t>Triston Austin</t>
    </r>
  </si>
  <si>
    <r>
      <rPr>
        <rFont val="&quot;Roboto Condensed&quot;, Arial, &quot;sans-serif&quot;"/>
        <b/>
        <color rgb="FF1155CC"/>
        <sz val="14.0"/>
        <u/>
      </rPr>
      <t>Christian Briggs</t>
    </r>
  </si>
  <si>
    <r>
      <rPr>
        <rFont val="&quot;Roboto Condensed&quot;, Arial, &quot;sans-serif&quot;"/>
        <b/>
        <color rgb="FF1155CC"/>
        <sz val="14.0"/>
        <u/>
      </rPr>
      <t>Robert Williamson</t>
    </r>
  </si>
  <si>
    <r>
      <rPr>
        <rFont val="&quot;Roboto Condensed&quot;, Arial, &quot;sans-serif&quot;"/>
        <b/>
        <color rgb="FF1155CC"/>
        <sz val="14.0"/>
        <u/>
      </rPr>
      <t>Riley Urie</t>
    </r>
  </si>
  <si>
    <r>
      <rPr>
        <rFont val="&quot;Roboto Condensed&quot;, Arial, &quot;sans-serif&quot;"/>
        <b/>
        <color rgb="FF1155CC"/>
        <sz val="14.0"/>
        <u/>
      </rPr>
      <t>William Eskay</t>
    </r>
  </si>
  <si>
    <r>
      <rPr>
        <rFont val="&quot;Roboto Condensed&quot;, Arial, &quot;sans-serif&quot;"/>
        <b/>
        <color rgb="FF1155CC"/>
        <sz val="14.0"/>
        <u/>
      </rPr>
      <t>James Thomas</t>
    </r>
  </si>
  <si>
    <r>
      <rPr>
        <rFont val="&quot;Roboto Condensed&quot;, Arial, &quot;sans-serif&quot;"/>
        <b/>
        <color rgb="FF1155CC"/>
        <sz val="14.0"/>
        <u/>
      </rPr>
      <t>Colin O'Keefe</t>
    </r>
  </si>
  <si>
    <r>
      <rPr>
        <rFont val="&quot;Roboto Condensed&quot;, Arial, &quot;sans-serif&quot;"/>
        <b/>
        <color rgb="FF1155CC"/>
        <sz val="14.0"/>
        <u/>
      </rPr>
      <t>Ryan Khedoo</t>
    </r>
  </si>
  <si>
    <r>
      <rPr>
        <rFont val="&quot;Roboto Condensed&quot;, Arial, &quot;sans-serif&quot;"/>
        <b/>
        <color rgb="FF1155CC"/>
        <sz val="14.0"/>
        <u/>
      </rPr>
      <t>James Togbah</t>
    </r>
  </si>
  <si>
    <r>
      <rPr>
        <rFont val="&quot;Roboto Condensed&quot;, Arial, &quot;sans-serif&quot;"/>
        <b/>
        <color rgb="FF1155CC"/>
        <sz val="14.0"/>
        <u/>
      </rPr>
      <t>Larsen Rogers</t>
    </r>
  </si>
  <si>
    <r>
      <rPr>
        <rFont val="&quot;Roboto Condensed&quot;, Arial, &quot;sans-serif&quot;"/>
        <b/>
        <color rgb="FF1155CC"/>
        <sz val="14.0"/>
        <u/>
      </rPr>
      <t>Mario Falsone</t>
    </r>
  </si>
  <si>
    <r>
      <rPr>
        <rFont val="&quot;Roboto Condensed&quot;, Arial, &quot;sans-serif&quot;"/>
        <b/>
        <color rgb="FF1155CC"/>
        <sz val="14.0"/>
        <u/>
      </rPr>
      <t>Keaton Woods</t>
    </r>
  </si>
  <si>
    <r>
      <rPr>
        <rFont val="&quot;Roboto Condensed&quot;, Arial, &quot;sans-serif&quot;"/>
        <b/>
        <color rgb="FF1155CC"/>
        <sz val="14.0"/>
        <u/>
      </rPr>
      <t>Axel Chakounte</t>
    </r>
  </si>
  <si>
    <r>
      <rPr>
        <rFont val="&quot;Roboto Condensed&quot;, Arial, &quot;sans-serif&quot;"/>
        <b/>
        <color rgb="FF1155CC"/>
        <sz val="14.0"/>
        <u/>
      </rPr>
      <t>Zachary Druhe</t>
    </r>
  </si>
  <si>
    <r>
      <rPr>
        <rFont val="&quot;Roboto Condensed&quot;, Arial, &quot;sans-serif&quot;"/>
        <b/>
        <color rgb="FF1155CC"/>
        <sz val="14.0"/>
        <u/>
      </rPr>
      <t>Randy Martinez</t>
    </r>
  </si>
  <si>
    <r>
      <rPr>
        <rFont val="&quot;Roboto Condensed&quot;, Arial, &quot;sans-serif&quot;"/>
        <b/>
        <color rgb="FF1155CC"/>
        <sz val="14.0"/>
        <u/>
      </rPr>
      <t>John Gates</t>
    </r>
  </si>
  <si>
    <t>Robbie Kristo</t>
  </si>
  <si>
    <t>Andres Chalbaud</t>
  </si>
  <si>
    <t>Jayce Berger</t>
  </si>
  <si>
    <t>Ozzy Santana</t>
  </si>
  <si>
    <t>Mehrshad Ahmadi</t>
  </si>
  <si>
    <t>Julio Varela</t>
  </si>
  <si>
    <t>St. Louis Ambush Goalkeeper</t>
  </si>
  <si>
    <t>SA</t>
  </si>
  <si>
    <t>GA</t>
  </si>
  <si>
    <t>Sv</t>
  </si>
  <si>
    <t>Sv%</t>
  </si>
  <si>
    <r>
      <rPr>
        <rFont val="&quot;Roboto Condensed&quot;, Arial, &quot;sans-serif&quot;"/>
        <b/>
        <color rgb="FF1155CC"/>
        <sz val="14.0"/>
        <u/>
      </rPr>
      <t>Paulo Nascimento</t>
    </r>
  </si>
  <si>
    <t>Jose Ogaz</t>
  </si>
  <si>
    <t>Pollo Cortes</t>
  </si>
  <si>
    <t>PLUS OR MINUS LEADERBOARD</t>
  </si>
  <si>
    <t>NAME</t>
  </si>
  <si>
    <t>PLUS</t>
  </si>
  <si>
    <t>MINUS</t>
  </si>
  <si>
    <t>TOTAL</t>
  </si>
  <si>
    <t>TREND</t>
  </si>
  <si>
    <t>11.28&amp;29 +</t>
  </si>
  <si>
    <t>William Eskay</t>
  </si>
  <si>
    <t>+1</t>
  </si>
  <si>
    <t>-</t>
  </si>
  <si>
    <t>Daniel Torrealba</t>
  </si>
  <si>
    <t>Mario Falsone</t>
  </si>
  <si>
    <t>+2</t>
  </si>
  <si>
    <t>Christian Briggs</t>
  </si>
  <si>
    <t>Randy Martinez</t>
  </si>
  <si>
    <t>John Gates</t>
  </si>
  <si>
    <t>Andreas Chalbaud</t>
  </si>
  <si>
    <t>Lucas Almeida</t>
  </si>
  <si>
    <t>Riley Urie</t>
  </si>
  <si>
    <t>+4</t>
  </si>
  <si>
    <t>Duduca Carvalho</t>
  </si>
  <si>
    <t>Ryan Khedoo</t>
  </si>
  <si>
    <t>Larsen Rogers</t>
  </si>
  <si>
    <t>Rob Williamson</t>
  </si>
  <si>
    <t>Jeff Michaud</t>
  </si>
  <si>
    <t>Zachary Druhe</t>
  </si>
  <si>
    <t>Triston Austin</t>
  </si>
  <si>
    <t>James Thomas</t>
  </si>
  <si>
    <t>Keaton Woods</t>
  </si>
  <si>
    <t>James Togbah</t>
  </si>
  <si>
    <t>Axel Chakounte</t>
  </si>
  <si>
    <t>Colin O'Keefe</t>
  </si>
  <si>
    <t xml:space="preserve">Ambush v. Comets </t>
  </si>
  <si>
    <t>11.28.2025</t>
  </si>
  <si>
    <t xml:space="preserve">Ambush v. Wave </t>
  </si>
  <si>
    <t>12.14.2025</t>
  </si>
  <si>
    <t>12.21.25</t>
  </si>
  <si>
    <t>12.31.25</t>
  </si>
  <si>
    <t xml:space="preserve">Didn't calculate it to the best degree. Focused on other things. No real pattern. </t>
  </si>
  <si>
    <t>Ambush v. Wave</t>
  </si>
  <si>
    <t>1.24.26</t>
  </si>
  <si>
    <t>Ambush v. Tacoma</t>
  </si>
  <si>
    <t>2.7.26</t>
  </si>
  <si>
    <t>Ambush v. Blast</t>
  </si>
  <si>
    <t>3.1.26</t>
  </si>
  <si>
    <t>11.28.2025 - Kansas City Comets @ Home</t>
  </si>
  <si>
    <t>1st Quarter Takeways</t>
  </si>
  <si>
    <t xml:space="preserve">Giving them the middle way too easily. </t>
  </si>
  <si>
    <t>Efficiency Rate</t>
  </si>
  <si>
    <t>Conversion</t>
  </si>
  <si>
    <t>Only have two guys behind the ball on defense. Not transitioning back fast enough</t>
  </si>
  <si>
    <t>1st</t>
  </si>
  <si>
    <t>They don't like the right side at all. Force them towards me or towards stat booth.</t>
  </si>
  <si>
    <t>2nd</t>
  </si>
  <si>
    <t>every set piece is a pass off the board to the middle</t>
  </si>
  <si>
    <t>3rd</t>
  </si>
  <si>
    <t xml:space="preserve">All of our shots are high. Shoot low spillage second option is always there. </t>
  </si>
  <si>
    <t>4th</t>
  </si>
  <si>
    <t>Goalie spills long range</t>
  </si>
  <si>
    <t>2nd Quarter</t>
  </si>
  <si>
    <t>High value opportunities decreased in second period. Not as many quality shots</t>
  </si>
  <si>
    <t>TOTAL POSSESSION COUNT</t>
  </si>
  <si>
    <t>SUCCESSFUL TRANSITIONS</t>
  </si>
  <si>
    <t>EFFICIENCY RATE</t>
  </si>
  <si>
    <t>Successful transitions dwindled or died off too</t>
  </si>
  <si>
    <t>THEY DO NOT SHOOT AT ALL FROM THE RIGHT SIDE. ALWAYS BOARDS</t>
  </si>
  <si>
    <t>Momentum shifted to them. WE were more direct and lacked quality possession</t>
  </si>
  <si>
    <t>Giveaways. Got tired</t>
  </si>
  <si>
    <t>AMBUSH HIGH VALUE SHOT</t>
  </si>
  <si>
    <t>AMBUSH CLOSE RANGE SHOTS</t>
  </si>
  <si>
    <t>AMBUSH SHOT CONVERSION RATE</t>
  </si>
  <si>
    <t>3rd Quarter Takeways</t>
  </si>
  <si>
    <t>Keep winning fouls top of key</t>
  </si>
  <si>
    <t>They are foul heavy in central zone. Danger area</t>
  </si>
  <si>
    <t>Low shots are squeezing past goalie - just not the last man</t>
  </si>
  <si>
    <t xml:space="preserve">More on target this quarter. More quality chances. </t>
  </si>
  <si>
    <t>Forced the ball and less successful transitions as half went on</t>
  </si>
  <si>
    <t>Only shot on left came from set piece. Still trying to use wall to find in middle</t>
  </si>
  <si>
    <t>4th Quarter Takeways</t>
  </si>
  <si>
    <t>Trizzy needs support but he's dangerous - Partner him and Daniel</t>
  </si>
  <si>
    <t>Still use chip ball on corner</t>
  </si>
  <si>
    <t xml:space="preserve">Got to get rhythm back. Too direct. </t>
  </si>
  <si>
    <t>Too many long range shots. Lots of time. Build it up</t>
  </si>
  <si>
    <t>They know daniel is shooting. Pass is open off boards</t>
  </si>
  <si>
    <t>that's the fourth giveaway that togbah has given away in th eback that's led to a goal</t>
  </si>
  <si>
    <t xml:space="preserve">Coaches say that defenders do not want the ball. Would rather not have it. </t>
  </si>
  <si>
    <t xml:space="preserve">Difference maker was shots inside and central | ours was deep and long </t>
  </si>
  <si>
    <t>11.29.2025 - Kansas City Comets Away</t>
  </si>
  <si>
    <t>Seems that we need to work on delaying runs to the middle</t>
  </si>
  <si>
    <t>Capitalizing on high value shots</t>
  </si>
  <si>
    <t>Need to score and need to involve eskay more. How?</t>
  </si>
  <si>
    <t>When watching film need to watch four sides of the ball. Transition, defense, resting state off ball, offense</t>
  </si>
  <si>
    <t>They always seem to get three on the counter. We only get two and can barely manage with that</t>
  </si>
  <si>
    <t>12.14.2025 - Milwaukee Wave Home</t>
  </si>
  <si>
    <t>1st Half Takeaways</t>
  </si>
  <si>
    <t>Effectively pushing shots wide but they taking too many shots at corner of box. Push them wider</t>
  </si>
  <si>
    <t>Their building 4 cycles in a diaomond . When frustrated they look to go long/ abort gameplan</t>
  </si>
  <si>
    <t>Dangerous on Counter press. Have to be aware. new focal point for them</t>
  </si>
  <si>
    <t>Defensively solid. Need an energy kick on offense tho. Losing it too much after we press in their end</t>
  </si>
  <si>
    <t>Have to get back into game plan. Lost sight. Bunker down into shape</t>
  </si>
  <si>
    <t>How does Wave have 3 fouls and we have 9. WE aren't more physical than them. Ask the ref</t>
  </si>
  <si>
    <t>Keep removing Sanchez from the game by being tight</t>
  </si>
  <si>
    <t xml:space="preserve">Coach is telling them to make runs down the boards now instead of inside. </t>
  </si>
  <si>
    <t>worried too much abot fouls</t>
  </si>
  <si>
    <t>2nd Half Takeaways</t>
  </si>
  <si>
    <t>Daduca match up  - take it</t>
  </si>
  <si>
    <t>Daniel getting a bit too involved and wanting a 1v1 - get him back to playing team game plan</t>
  </si>
  <si>
    <t>Discipline. Belief in game plan</t>
  </si>
  <si>
    <t>Need to counter press more - very successful</t>
  </si>
  <si>
    <t>Togbah at 3 fouls</t>
  </si>
  <si>
    <t>Direct pass to the boards vertical is on all day. 4 to target - movement across box</t>
  </si>
  <si>
    <t>They got to stop focusing on the refs. Let you do that - game plan. Couldve kept playing</t>
  </si>
  <si>
    <t>TAKE THE 1V1 WITH #6</t>
  </si>
  <si>
    <t>Goal Recaps</t>
  </si>
  <si>
    <t>Counter and caught them after penalty kill. Found scrap in box. First to rebound</t>
  </si>
  <si>
    <t>Daduca beat last guy. High line for Wave - caught them out</t>
  </si>
  <si>
    <t>Sanchez shot and saved pushed wide. Wave first to ball and board pass to middle</t>
  </si>
  <si>
    <t>5v4 from Torrealba. First to every rebound and scored</t>
  </si>
  <si>
    <t>Long to eskay and not tracking long ball off boards. Volley similar to Reget</t>
  </si>
  <si>
    <t>Doubled Sanchez and left Bennet open. quick switch - bomb from far out</t>
  </si>
  <si>
    <t>Top of Key - Handball led to set piece goal</t>
  </si>
  <si>
    <t>Counter press effective and drive middle. High line caught out</t>
  </si>
  <si>
    <t>build up through long ball to mario, board shot to far side and michaud pick up</t>
  </si>
  <si>
    <t>12.21.2025 -Kansas City Comets - Home</t>
  </si>
  <si>
    <t>They're driving down the middle more this time in transition. Using flanks less</t>
  </si>
  <si>
    <t>Transition efficiency</t>
  </si>
  <si>
    <t>Comfortable with Possesssion. Similar to how they played utica. Building 4 - want possession</t>
  </si>
  <si>
    <t>We are okay with less possession and counter</t>
  </si>
  <si>
    <t xml:space="preserve">Trying to find guy inthe pocket in the middle via boards or checking in. </t>
  </si>
  <si>
    <t>FOUL COUNTS</t>
  </si>
  <si>
    <t>Still pressing the flank - have to keep it away frmo middle of the field on the boards</t>
  </si>
  <si>
    <t>Little too antsy in clearing the ball. We just fucking beat empire. Be confident and handle their press</t>
  </si>
  <si>
    <t>Player</t>
  </si>
  <si>
    <t>OT</t>
  </si>
  <si>
    <t>Bunker down in your box in the middle and prevent them from playing in there - MAIN PLAN</t>
  </si>
  <si>
    <t>Trizzy</t>
  </si>
  <si>
    <t>Vandegriffe</t>
  </si>
  <si>
    <t>diagonal on boards is on all day long</t>
  </si>
  <si>
    <t>Briggs</t>
  </si>
  <si>
    <t>Palmer</t>
  </si>
  <si>
    <t xml:space="preserve">Slow on transition - both sides of the ball. </t>
  </si>
  <si>
    <t>Rob</t>
  </si>
  <si>
    <t>Pino</t>
  </si>
  <si>
    <t xml:space="preserve">Tired legs. Can't go long on transition because no support. Have to build 4. </t>
  </si>
  <si>
    <t>Larsen</t>
  </si>
  <si>
    <t>Francis</t>
  </si>
  <si>
    <t>If we are building 4 - only success is checking into pocket because they want to press wide</t>
  </si>
  <si>
    <t>Lucas</t>
  </si>
  <si>
    <t>Reget</t>
  </si>
  <si>
    <t xml:space="preserve">Have lucas drop back and thread to targets feet. </t>
  </si>
  <si>
    <t>Mario</t>
  </si>
  <si>
    <t>Sousa</t>
  </si>
  <si>
    <t>Eskay</t>
  </si>
  <si>
    <t>Thetsane</t>
  </si>
  <si>
    <t>Got to get numers forward to support target</t>
  </si>
  <si>
    <t>Daniel</t>
  </si>
  <si>
    <t>Ramirez</t>
  </si>
  <si>
    <t>Keep following shots - KC is not first to rebounds - theyre on heels</t>
  </si>
  <si>
    <t>Gates</t>
  </si>
  <si>
    <t>Flores</t>
  </si>
  <si>
    <t xml:space="preserve">Getting caught up too. much in their diving. keep playingand pushing them back </t>
  </si>
  <si>
    <t>O'Keefe</t>
  </si>
  <si>
    <t>Marques</t>
  </si>
  <si>
    <t xml:space="preserve">Larsen running in behind and at them is effective. Can we get Eskay to as well on same line? </t>
  </si>
  <si>
    <t>Togbah</t>
  </si>
  <si>
    <t>Lenis</t>
  </si>
  <si>
    <t>They are on the heels and wrapped up in the game. This is where we get them</t>
  </si>
  <si>
    <t>Daduca</t>
  </si>
  <si>
    <t>Anderados</t>
  </si>
  <si>
    <t>Need more plays like Mario - inspire them to do the same. keep fighting. This game is there for the taking</t>
  </si>
  <si>
    <t>Randy</t>
  </si>
  <si>
    <t>Garza</t>
  </si>
  <si>
    <t>Jeff</t>
  </si>
  <si>
    <t>Holliman</t>
  </si>
  <si>
    <t>QUICK ON TRANSITION WITH EJIMADU - WATCH HIM GO LONG</t>
  </si>
  <si>
    <t>Paulo</t>
  </si>
  <si>
    <t>Coranaelo</t>
  </si>
  <si>
    <t>THEY ARE GOING DIRECT AND FAST NOW</t>
  </si>
  <si>
    <t>Jose</t>
  </si>
  <si>
    <t>Ejimadu</t>
  </si>
  <si>
    <t>BUNKER AND PUNISH</t>
  </si>
  <si>
    <t xml:space="preserve">Defensively solid. Have to put away a couple more chances. </t>
  </si>
  <si>
    <t>KEEP TAKING THAT DANIEL V MARQUES MATCHUP</t>
  </si>
  <si>
    <t>WHEN MARQUES IS ON THE WING TAKE HIM</t>
  </si>
  <si>
    <t>0-1</t>
  </si>
  <si>
    <t>Ball played through middle, save, back out to top key - not set and slips between all of us</t>
  </si>
  <si>
    <t>0-2</t>
  </si>
  <si>
    <t>Ball played to middle dummy to far side off boards and not tracking runner - tap in</t>
  </si>
  <si>
    <t>Mario outbodied Nacho and solo play to goal. Outmuscled 3 guys</t>
  </si>
  <si>
    <t>Overload, shot off boards, falls to daniel and 1v1</t>
  </si>
  <si>
    <t>12.31.2025 -Kansas City Comets - Home</t>
  </si>
  <si>
    <t>Kristo effective as target. Not sure how to handle big body</t>
  </si>
  <si>
    <t>KC's defense is collapsing to 1 side. Other side open in midfield. Beat press on transition by diagonal</t>
  </si>
  <si>
    <t xml:space="preserve">Andreas looks a little shaky when KC presses. Might have to help him out </t>
  </si>
  <si>
    <t>briggs and chalbaud 2 in a half</t>
  </si>
  <si>
    <t xml:space="preserve">Shots are too far out. Have to take more high value shots. We have runners open back side. </t>
  </si>
  <si>
    <t>Fake shot and look backside</t>
  </si>
  <si>
    <t>He's having targets circle towards near side now. He instructed at break. Run across keeper front side</t>
  </si>
  <si>
    <t>New guys in the back are shaky. Target them and 2nd ball there</t>
  </si>
  <si>
    <t>KEEP PLAYING THE BALL IN THAT AREA. SHAKY AND DANGEROUS]</t>
  </si>
  <si>
    <t>Horizontal switch is on after we press and in the middle</t>
  </si>
  <si>
    <t xml:space="preserve">Have to be more hungry in front of our own goal. They walked it in there on the goal line. </t>
  </si>
  <si>
    <t>Riley</t>
  </si>
  <si>
    <t>5 goals in 4 minutes. Mental lapses</t>
  </si>
  <si>
    <t>Get back to playing our game. Don't settle into the momentum</t>
  </si>
  <si>
    <t>Kristo</t>
  </si>
  <si>
    <t>Kazeem</t>
  </si>
  <si>
    <t>80 is fucking horrible. Press him</t>
  </si>
  <si>
    <t>SECOND BALL</t>
  </si>
  <si>
    <t>Acosta</t>
  </si>
  <si>
    <t>Get Kristo off of Acosta. Get Daniel or best 1v1 on 80/27</t>
  </si>
  <si>
    <t>Durdle</t>
  </si>
  <si>
    <t>Acosta embellishment at 2:51 2nd Qtr</t>
  </si>
  <si>
    <t>Gotta use kristo as a target more</t>
  </si>
  <si>
    <t>Alomar</t>
  </si>
  <si>
    <t xml:space="preserve">Outshooting them on quality and quanitty by a lot </t>
  </si>
  <si>
    <t>Jayce</t>
  </si>
  <si>
    <t>Wainwright</t>
  </si>
  <si>
    <t>Target that matchup with daniel. Him and 27</t>
  </si>
  <si>
    <t>Andreas</t>
  </si>
  <si>
    <t>Peterson</t>
  </si>
  <si>
    <t>1:48 Embellishment 3rd Qtr</t>
  </si>
  <si>
    <t>Axel</t>
  </si>
  <si>
    <t>Stankovich</t>
  </si>
  <si>
    <t>Pressing in the middle of the field. Long diagonal or horizontal split in midfield is on</t>
  </si>
  <si>
    <t>Hollimon</t>
  </si>
  <si>
    <t>Holdup through target and second runner is on. They arent tracking second forward</t>
  </si>
  <si>
    <t>Coronado</t>
  </si>
  <si>
    <t>Can we get big rob a long range shot and kristo follow</t>
  </si>
  <si>
    <t>Got to hit kristo on diagonal off boards - success in scrap there</t>
  </si>
  <si>
    <t>12:05 2nd Qtr</t>
  </si>
  <si>
    <t xml:space="preserve">Jayce ball off boards, lucas found second rebound and placed it. </t>
  </si>
  <si>
    <t>11:42 2nd Qtr</t>
  </si>
  <si>
    <t>Eskay played ball in between goalie and Defender and own goal</t>
  </si>
  <si>
    <t>11:22 2nd Qtr</t>
  </si>
  <si>
    <t>Ball played backside - 2nd ball</t>
  </si>
  <si>
    <t>10:50 2nd Qtr</t>
  </si>
  <si>
    <t>Pressed and won - horizontal ball to Kristo and finished</t>
  </si>
  <si>
    <t>10:17 2nd Qtr</t>
  </si>
  <si>
    <t>Ball played to target and lay off and 2nd runner tucks it away.</t>
  </si>
  <si>
    <t>6:54 3rd Qtr</t>
  </si>
  <si>
    <t>Freek kick dummy goal</t>
  </si>
  <si>
    <t>3:30 3rd qtr</t>
  </si>
  <si>
    <t>Long ball to corner, shot on goal rebound second ball scored</t>
  </si>
  <si>
    <t>12:29 4th qtr</t>
  </si>
  <si>
    <t>long range shot paulo didn't get a hand on low save</t>
  </si>
  <si>
    <t>1.16.2026 Empire Home</t>
  </si>
  <si>
    <t>Attacking strategy for them is Transition play and distance shots with crash</t>
  </si>
  <si>
    <t xml:space="preserve">We are struggling to stretch the field on transition. Not getting vertical </t>
  </si>
  <si>
    <t>Lawal Qudus</t>
  </si>
  <si>
    <t>They are dangerous ooff the boards with the dump and transition</t>
  </si>
  <si>
    <t>Alami Mounir</t>
  </si>
  <si>
    <t>Counter pressing effective on them. I don't trust their keeper on the ball</t>
  </si>
  <si>
    <t>Oliveira Oyro</t>
  </si>
  <si>
    <t xml:space="preserve">Have to continue being patient when they knock the ball. Trust our system. </t>
  </si>
  <si>
    <t>Leo Hernandez</t>
  </si>
  <si>
    <t>Tell the refs to watch for the Pics. Trying to set a pic so the outside can dribble inside</t>
  </si>
  <si>
    <t>Powerll Anthony</t>
  </si>
  <si>
    <t>They're still trying to get the 1v1 isoldated on the boards. They want him to run inside</t>
  </si>
  <si>
    <t>Stinson</t>
  </si>
  <si>
    <t>Break Empires new guys down. Isolate them 1v1 and keep the ball if transition not on</t>
  </si>
  <si>
    <t>Graterol Dayerson</t>
  </si>
  <si>
    <t>Capitalize on these top of box restarts and we are up big</t>
  </si>
  <si>
    <t>L. Suddeth Ben</t>
  </si>
  <si>
    <t>Diaz Walter</t>
  </si>
  <si>
    <t>Hold up play with target very effective</t>
  </si>
  <si>
    <t>Khedoo</t>
  </si>
  <si>
    <t>Steven Chavez</t>
  </si>
  <si>
    <t>BE AWARE OF 1v1. DO NOOT DIVE IN</t>
  </si>
  <si>
    <t>Filipe Dutia</t>
  </si>
  <si>
    <t>BE COMPACT AND ENDURE PRESSURE. STICK WITH STRUCTURE</t>
  </si>
  <si>
    <t>DeLaTorre</t>
  </si>
  <si>
    <t>Can't be antsy here. Have to punish them or be tactical and dump and get a sub</t>
  </si>
  <si>
    <t>Michaud</t>
  </si>
  <si>
    <t>Ramalho Lucas</t>
  </si>
  <si>
    <t>BE SMART HERE IN MANAGING SUBS AS THEY MOVE THE BALL W/ 6th ATTACKER</t>
  </si>
  <si>
    <t>Julio</t>
  </si>
  <si>
    <t>Ali Somow</t>
  </si>
  <si>
    <t>Do not let them get wrapped up in game. He's calling more now. Need to stick tactics</t>
  </si>
  <si>
    <t>De Lima</t>
  </si>
  <si>
    <t>Fouling is how we let them back in the game - smart fouls only</t>
  </si>
  <si>
    <t>Gomez</t>
  </si>
  <si>
    <t>GREAT TRANSITION - THOSE ARE THE MOMENTS WE ARE LOOKING FOR HERE</t>
  </si>
  <si>
    <t>They are cycling runners like I showed on film. Drag runner to middle and back wide</t>
  </si>
  <si>
    <t>Goalie intentionally shooting towards boards for second ball - watch middle</t>
  </si>
  <si>
    <t>Be smart with who is on the field defensively here. Who does paulo want</t>
  </si>
  <si>
    <t>1st 9:14 Left</t>
  </si>
  <si>
    <t>Long ball played to middle - fast transition easy turn and lay off to goal</t>
  </si>
  <si>
    <t>1st 6:45</t>
  </si>
  <si>
    <t>Shorthanded goal. Doubled defensively and Michaud Long Range strike</t>
  </si>
  <si>
    <t>1st 2:50 Left</t>
  </si>
  <si>
    <t>Thread the needle - deep pass to find mario sitting on goalie for tap in</t>
  </si>
  <si>
    <t>2nd 11:09</t>
  </si>
  <si>
    <t>Riley forced his way through the middle and ball pops back out to thim. Slot to Mario</t>
  </si>
  <si>
    <t>4th 9:36</t>
  </si>
  <si>
    <t>Great transition counter and beat them with speed as they got caught up - direct vertical</t>
  </si>
  <si>
    <t>4th 2:51</t>
  </si>
  <si>
    <t>Top of Box Free Kick - Rolled once and shot Own Goal Deflection</t>
  </si>
  <si>
    <t>1.25.2026 Milwaukee Home</t>
  </si>
  <si>
    <t>1st Qtr Takeaways</t>
  </si>
  <si>
    <t>Faster lineup for Milwaukee. Target Play will be effective due to defensive personnel</t>
  </si>
  <si>
    <t>They don't defend the middle. Big gap in space</t>
  </si>
  <si>
    <t xml:space="preserve">Single Target for them. Wingers use space on the wings. Need goal side and tight. </t>
  </si>
  <si>
    <t>00'</t>
  </si>
  <si>
    <t>Cam Will</t>
  </si>
  <si>
    <t xml:space="preserve">Tranisionting well, but we are losing the ball right before getting a shot. </t>
  </si>
  <si>
    <t>Big Rob</t>
  </si>
  <si>
    <t>Hoffman</t>
  </si>
  <si>
    <t>Their wingers sitting deep and want to transition with space in front of them</t>
  </si>
  <si>
    <t>Mario Alvarez</t>
  </si>
  <si>
    <t>Deep long balls have been successful to corner for us. Gates running behind</t>
  </si>
  <si>
    <t>Stuart Grable</t>
  </si>
  <si>
    <t>CANNOT LOSE SANCHEZ AND GIVE HIM SPACE</t>
  </si>
  <si>
    <t>Mike Howell</t>
  </si>
  <si>
    <t>Counter press super effective - especially when we dump</t>
  </si>
  <si>
    <t>Cesar Correa</t>
  </si>
  <si>
    <t>2nd Qtr Takeaways</t>
  </si>
  <si>
    <t>Oscar Flores</t>
  </si>
  <si>
    <t xml:space="preserve">GK Change - Got hurt                                   </t>
  </si>
  <si>
    <t>Da Silva</t>
  </si>
  <si>
    <t>PEREZ LIKES TO PLAY LIKE 6TH ATTACKER. BALL ON FOOT</t>
  </si>
  <si>
    <t>Troy Morrison</t>
  </si>
  <si>
    <t>They won't do long throw now. More roll and build from the back</t>
  </si>
  <si>
    <t>Colin</t>
  </si>
  <si>
    <t>Alex Steinwascher</t>
  </si>
  <si>
    <t>Deep ball to corner is always on. Mario is checking to space, or dump to boards</t>
  </si>
  <si>
    <t>Ryan</t>
  </si>
  <si>
    <t>Tanner Hodgson</t>
  </si>
  <si>
    <t>Perez doesn't deal with the angles very well. Doesn't deal with the boards</t>
  </si>
  <si>
    <t>Andres</t>
  </si>
  <si>
    <t>Sanchez</t>
  </si>
  <si>
    <t>Keep shooting / need people crashing at all times</t>
  </si>
  <si>
    <t>Kyle Crain</t>
  </si>
  <si>
    <t>3rd Qtr Takeaways</t>
  </si>
  <si>
    <t>Javier Steinwascher</t>
  </si>
  <si>
    <t xml:space="preserve">Transition is right but we aren't doing anything about the shot or final step. </t>
  </si>
  <si>
    <t>Banahene</t>
  </si>
  <si>
    <t>I value our 1v1 in attack, Defensively 1v1 they're shaky</t>
  </si>
  <si>
    <t>Perez</t>
  </si>
  <si>
    <t>Did extremely well maintaining targets and holding and winning from them</t>
  </si>
  <si>
    <t>They like to look for last post runners and shot off the boards for a tap in 4:30</t>
  </si>
  <si>
    <t xml:space="preserve">Pressing has been effective in the midfield. </t>
  </si>
  <si>
    <t>4th Qtr Takeaways</t>
  </si>
  <si>
    <t xml:space="preserve">Game management. Smarter decisions under pressure. </t>
  </si>
  <si>
    <t>CARDS</t>
  </si>
  <si>
    <t xml:space="preserve">Have to focus on defensive structure and countering </t>
  </si>
  <si>
    <t xml:space="preserve">Held them defensively to very minimal chances. Done well. </t>
  </si>
  <si>
    <t xml:space="preserve">QTR / TIME LEFT </t>
  </si>
  <si>
    <t>TEAM / PLAYER #</t>
  </si>
  <si>
    <t>REASON</t>
  </si>
  <si>
    <t>Only offensive danger from them was from Sanchez / 1v1</t>
  </si>
  <si>
    <t>4:57 4th Qtr</t>
  </si>
  <si>
    <t>Wave</t>
  </si>
  <si>
    <t>Too many men</t>
  </si>
  <si>
    <t xml:space="preserve">2 goals conceded from left corner </t>
  </si>
  <si>
    <t>Delay of Game warning</t>
  </si>
  <si>
    <t>WE HAVE GOT TO TEACH GAME MANAGEMENT / DEFEND 6 ATTACKER</t>
  </si>
  <si>
    <t>Game management on the power play</t>
  </si>
  <si>
    <t>1st 9:01</t>
  </si>
  <si>
    <t>Left Corner - Played to sanchez one time shot</t>
  </si>
  <si>
    <t>1st 3:07</t>
  </si>
  <si>
    <t>Randy stepped and beat target and played to Daniel running in behind - counter</t>
  </si>
  <si>
    <t xml:space="preserve">3rd - 10:26 </t>
  </si>
  <si>
    <t>Daniel special</t>
  </si>
  <si>
    <t>3rd 1:20</t>
  </si>
  <si>
    <t xml:space="preserve">Won in midfield countered and played to riley on the break. </t>
  </si>
  <si>
    <t>4th 14:16</t>
  </si>
  <si>
    <t>Daniel pressed on boards in midfield and won and went straight to goal</t>
  </si>
  <si>
    <t>4th 10:06</t>
  </si>
  <si>
    <t>Counter attack board play. Great team play and board play. De Zerbi Style</t>
  </si>
  <si>
    <t>4th - 6:49</t>
  </si>
  <si>
    <t>Left corner shot directly in off post</t>
  </si>
  <si>
    <t>4th 5:29</t>
  </si>
  <si>
    <t>Ball deflected and fell to top of box - chipped paulo</t>
  </si>
  <si>
    <t xml:space="preserve">Building with 3. Looking to cycle and get runners wide on the ball. </t>
  </si>
  <si>
    <t xml:space="preserve">2 people sitting high on same side. Looking to disrupt. </t>
  </si>
  <si>
    <t>We are slacking defensively in marking their targets tight.IN THE BOX</t>
  </si>
  <si>
    <t>Counter press is super effective. Force top of box. Game delay</t>
  </si>
  <si>
    <t>Mario matchup against 12. Take it</t>
  </si>
  <si>
    <t xml:space="preserve">Their back line likes to step high. Easy to beat them in behind wide on the boards. </t>
  </si>
  <si>
    <t>Can we shoot low. This goalie's stance tells he prefers to save high</t>
  </si>
  <si>
    <t>Shot production is really good. Need more shots in closer areas</t>
  </si>
  <si>
    <t>Tacoma most dangerous when we lose ball and let them transition and run at us</t>
  </si>
  <si>
    <t>They leave huge holes for Mario to check back / fill. Bait them to press and target that</t>
  </si>
  <si>
    <t>Very physical team. Make sure we don't get wrapepd up in it</t>
  </si>
  <si>
    <t>B</t>
  </si>
  <si>
    <t>Oz</t>
  </si>
  <si>
    <t xml:space="preserve">Need to be cautious on where we are losing the ball. </t>
  </si>
  <si>
    <t>Oz is in his groove. Get him the ball and runners feeding off him</t>
  </si>
  <si>
    <t>DISCIPLINARY ACTION</t>
  </si>
  <si>
    <t xml:space="preserve">Tacoma going to make the game physical now and slow it down. </t>
  </si>
  <si>
    <t>Do not get wrapped up in them. Game management. Play our game</t>
  </si>
  <si>
    <t>They're looking to cycle briggs and rob out of the back (4&amp;5 spot)</t>
  </si>
  <si>
    <t>2nd - 7:32</t>
  </si>
  <si>
    <t xml:space="preserve">Ambush - Eskay </t>
  </si>
  <si>
    <t>Tripping - Stopped the counter</t>
  </si>
  <si>
    <t>We got siloed. Stopped shooting. Start getting back in the rhythm</t>
  </si>
  <si>
    <t>3rd 5:27</t>
  </si>
  <si>
    <t>Ambush - Chalbaud</t>
  </si>
  <si>
    <t>Delayed Countering - Last man</t>
  </si>
  <si>
    <t xml:space="preserve">4th 7:46 </t>
  </si>
  <si>
    <t>Tacoma - Hanson</t>
  </si>
  <si>
    <t xml:space="preserve">Last man back </t>
  </si>
  <si>
    <t xml:space="preserve">Start utilizing mario and Ozzy for more hold up play. </t>
  </si>
  <si>
    <t>4th 7:43</t>
  </si>
  <si>
    <t>Tacoma - Birueta</t>
  </si>
  <si>
    <t>Took out Michaud on Shootout when he was away</t>
  </si>
  <si>
    <t>We settled and let them dictate tempo. We need to dictate tempo</t>
  </si>
  <si>
    <t>4th 5:43</t>
  </si>
  <si>
    <t>Ambush - Michaud</t>
  </si>
  <si>
    <t>Boarding - We challenged. Kept Challenge Flag</t>
  </si>
  <si>
    <t>Take #2 1v1 - he is gassed and we can isolate him</t>
  </si>
  <si>
    <t>Chase Hanson</t>
  </si>
  <si>
    <t>4th 4:38</t>
  </si>
  <si>
    <t>Tacoma Challange</t>
  </si>
  <si>
    <t xml:space="preserve">Lost challenge flag on restart call. </t>
  </si>
  <si>
    <t xml:space="preserve">Losing the balls in critical areas and then vulnerable to transition goals. </t>
  </si>
  <si>
    <t>Jone</t>
  </si>
  <si>
    <t>Cannot lose the balls in the pocket in the midfield</t>
  </si>
  <si>
    <t>Rivers</t>
  </si>
  <si>
    <t>Caceres</t>
  </si>
  <si>
    <t>1-0</t>
  </si>
  <si>
    <t>13:00 1st qtr</t>
  </si>
  <si>
    <t>Top of box - follow up shot. Briggs off the boards. Chilly restart</t>
  </si>
  <si>
    <t>Cox</t>
  </si>
  <si>
    <t>2-0</t>
  </si>
  <si>
    <t>9:52 2nd qtr</t>
  </si>
  <si>
    <t>Invited them to press. Dump to Mario, drove to the middle and played Chalbaud</t>
  </si>
  <si>
    <t>Herrnandez</t>
  </si>
  <si>
    <t>2nd qtr 10 secs left</t>
  </si>
  <si>
    <t xml:space="preserve">Pushed too high and they transitioned and ran at us. Shot from far left. </t>
  </si>
  <si>
    <t>Tyler John</t>
  </si>
  <si>
    <t xml:space="preserve">3rd 12:48 </t>
  </si>
  <si>
    <t xml:space="preserve">Top of box foul. Daniel circled around the goal and came to meet it and shot. </t>
  </si>
  <si>
    <t>Mendoza</t>
  </si>
  <si>
    <t>3rd 11:30</t>
  </si>
  <si>
    <t>1v1 on the wing. Not goal side on the goal. Paulo didn't cut the angle</t>
  </si>
  <si>
    <t>Brisco</t>
  </si>
  <si>
    <t>3rd 8:45</t>
  </si>
  <si>
    <t xml:space="preserve">Rob dribbled down the middle and no one stepped. Shot wide. Eskay tap in. </t>
  </si>
  <si>
    <t>Ramos</t>
  </si>
  <si>
    <t>3rd 3:10</t>
  </si>
  <si>
    <t xml:space="preserve">1v1 out wide. Runner came across top of box to meet him and hit first time. </t>
  </si>
  <si>
    <t>Lima</t>
  </si>
  <si>
    <t>3rd 2:40</t>
  </si>
  <si>
    <t>Briggs shot from free kick out wide. Tap in  - in front of goal</t>
  </si>
  <si>
    <t>Correa</t>
  </si>
  <si>
    <t xml:space="preserve">3rd 1:40 </t>
  </si>
  <si>
    <t>1v1 with speed down the boards. Ozzy tired from pressing keeper. Beat and goal</t>
  </si>
  <si>
    <t>Romero</t>
  </si>
  <si>
    <t>4th 12:28</t>
  </si>
  <si>
    <t>Lost the ball in critical area and they transitioned straight to goal</t>
  </si>
  <si>
    <t>Lopez</t>
  </si>
  <si>
    <t>Oz PK</t>
  </si>
  <si>
    <t>Luis Birrueta</t>
  </si>
  <si>
    <t>4th qtr - 4:38</t>
  </si>
  <si>
    <t>1v1 isolation outside. Patient buildup. Rebound score</t>
  </si>
  <si>
    <t>Waltman</t>
  </si>
  <si>
    <t>4TH 30 SECS</t>
  </si>
  <si>
    <t>won the ball on 6th attacker and gates outran and beat there for empty netter</t>
  </si>
  <si>
    <t>1st HalfTakeaways</t>
  </si>
  <si>
    <t>Top of box and all set pieces is always gonna go to #49</t>
  </si>
  <si>
    <t>They are only looking for shots from corners. We are okay with those, but watch angles</t>
  </si>
  <si>
    <t>Looking to build through wide play. On the boards / flanks</t>
  </si>
  <si>
    <t>3rd 13:40</t>
  </si>
  <si>
    <t>Utica - #20</t>
  </si>
  <si>
    <t>Boarding - Shoved colin into boards</t>
  </si>
  <si>
    <t>Ref on far side made it clear. We have to play through. he's not calling anything</t>
  </si>
  <si>
    <t>4th -10:50</t>
  </si>
  <si>
    <t>Ambush</t>
  </si>
  <si>
    <t>Challenge - Blue Card Penalty Shot - Daniel Away on Goal - Challenge Won</t>
  </si>
  <si>
    <t>Watch boards ball to the middle. Looking for simple wallascora in front</t>
  </si>
  <si>
    <t>Blue committed by #30</t>
  </si>
  <si>
    <t>Forcing daniel wide and doubling him on boards. Cannot keep doing this</t>
  </si>
  <si>
    <t>4th 9:30</t>
  </si>
  <si>
    <t xml:space="preserve">Utica </t>
  </si>
  <si>
    <t>Challenge on Randy's goal for a handball. Lost challenge flag</t>
  </si>
  <si>
    <t>Looking for 1v1 on the flank and then pass off boards to target in front</t>
  </si>
  <si>
    <t xml:space="preserve">Kristo </t>
  </si>
  <si>
    <t>4th 6:55</t>
  </si>
  <si>
    <t>Utica #10</t>
  </si>
  <si>
    <t xml:space="preserve">Contact above the head </t>
  </si>
  <si>
    <t>Far side corner dump is on. Especially when gates joins</t>
  </si>
  <si>
    <t>4th 3:52</t>
  </si>
  <si>
    <t>Challenge a foul on the boards - Missed Blue Card - Result: Foul no blue card</t>
  </si>
  <si>
    <t>They're pressing on goalie restarts. Counter in the gap in between Eskay's goal</t>
  </si>
  <si>
    <t>Keep capitalizing on the slow subs. Either we sub too or transition fast</t>
  </si>
  <si>
    <t>Slow decision making and playing down to their level. Too casual</t>
  </si>
  <si>
    <t>Keaton</t>
  </si>
  <si>
    <t>Calm down and play our game. Too nervous and touch is off. Forcing things</t>
  </si>
  <si>
    <t xml:space="preserve">Can't keep dumping to the boards in the corner with no support. </t>
  </si>
  <si>
    <t>Need to build on that goal now. Don't stop the pressure. Don't settle down</t>
  </si>
  <si>
    <t xml:space="preserve">Continue to lose the ball in dangerous areas. Need runners supporting </t>
  </si>
  <si>
    <t>Continue to be dangerous when countering with speed. Struggle breaking past first zonoe</t>
  </si>
  <si>
    <t>Really effective in transition now. Deffending together in system. Different 2nd half</t>
  </si>
  <si>
    <t>We're not very effective in shootouts</t>
  </si>
  <si>
    <t>Do not get complacent defensively</t>
  </si>
  <si>
    <t>2:13 1st Qtr</t>
  </si>
  <si>
    <t xml:space="preserve">Briggs takes freekick off boards, Daniel shot on goal, kristo flick in front </t>
  </si>
  <si>
    <t>9:30 2nd qtr</t>
  </si>
  <si>
    <t>They press paulo, Eskay counters in space behind, shoots, riley tap in</t>
  </si>
  <si>
    <t>Belliard</t>
  </si>
  <si>
    <t>3-0</t>
  </si>
  <si>
    <t>9:49 3rd qtr</t>
  </si>
  <si>
    <t>Ball bounced around in the air and kristo overhead kick</t>
  </si>
  <si>
    <t>Tavares</t>
  </si>
  <si>
    <t>4-0</t>
  </si>
  <si>
    <t>5:18 3rd qtr</t>
  </si>
  <si>
    <t>Eskay counter with speed and pass left wide to riley and first time pass back post to gates</t>
  </si>
  <si>
    <t>De Andrade</t>
  </si>
  <si>
    <t>5-0</t>
  </si>
  <si>
    <t>2:19 3rd qtr</t>
  </si>
  <si>
    <t>Riley countered and played to marioo who shot save and gates finds rebound</t>
  </si>
  <si>
    <t>Santos</t>
  </si>
  <si>
    <t>6-0</t>
  </si>
  <si>
    <t>2:03 3rd qtr</t>
  </si>
  <si>
    <t>Won at midfield and played randy in behind 1v1 on keeper</t>
  </si>
  <si>
    <t>Stephens</t>
  </si>
  <si>
    <t>7-0</t>
  </si>
  <si>
    <t>14 secs 3rd qtr</t>
  </si>
  <si>
    <t xml:space="preserve">Power Play goal worked to target in front </t>
  </si>
  <si>
    <t>Gehnrich</t>
  </si>
  <si>
    <t>1F 1B</t>
  </si>
  <si>
    <t>8-0</t>
  </si>
  <si>
    <t>14:28 4th qtr</t>
  </si>
  <si>
    <t>Mario picked ball up at midfield and countered. Drove straight to goal and tucked away</t>
  </si>
  <si>
    <t>Spurr</t>
  </si>
  <si>
    <t>9-0</t>
  </si>
  <si>
    <t>12:20 4th qtr</t>
  </si>
  <si>
    <t>Ball played long - shot off top of booards. Triston Tap in</t>
  </si>
  <si>
    <t>Howard</t>
  </si>
  <si>
    <t>10-0</t>
  </si>
  <si>
    <t xml:space="preserve">9:30 4th </t>
  </si>
  <si>
    <t>Power play goal chipped far side and volley back post</t>
  </si>
  <si>
    <t>Tavernese</t>
  </si>
  <si>
    <t xml:space="preserve">11-0 </t>
  </si>
  <si>
    <t>4th qtr</t>
  </si>
  <si>
    <t>6th attacker riley urie goal from far</t>
  </si>
  <si>
    <t>Alava</t>
  </si>
  <si>
    <t>12-0</t>
  </si>
  <si>
    <t>6th attacker eskay</t>
  </si>
  <si>
    <t>Pinal</t>
  </si>
  <si>
    <t>13-0</t>
  </si>
  <si>
    <t>6th Attacker</t>
  </si>
  <si>
    <t>Ahmadi</t>
  </si>
  <si>
    <t>Pagano</t>
  </si>
  <si>
    <t>Nyamsi</t>
  </si>
  <si>
    <t>Hauss Raines</t>
  </si>
  <si>
    <t>Andrew Taylor</t>
  </si>
  <si>
    <t>2.27.2026 Blast - Home</t>
  </si>
  <si>
    <t>They leave a deep pocket of space right next to target and behind their mdifield</t>
  </si>
  <si>
    <t>Building 4 but 4th guy sits as a CDM 6 almost</t>
  </si>
  <si>
    <t xml:space="preserve">1v1 matchup on boaords. They stick with runners on far side. Isolate 1v1 </t>
  </si>
  <si>
    <t>As we continue to play fast they foul. Keep the speed going</t>
  </si>
  <si>
    <t>They like those board passes to the middle like we saw on film. Follow runners</t>
  </si>
  <si>
    <t>On Riley's ball they still pressed 3 on the ball and overcommitted. WEAK SIDE PASS</t>
  </si>
  <si>
    <t xml:space="preserve">They just like to cycle ball horizontally. Once direct to targe = on then they all go </t>
  </si>
  <si>
    <t>JT</t>
  </si>
  <si>
    <t>^ Cut horizontal passes at yellow line and force them to go long? We have numbers</t>
  </si>
  <si>
    <t>RILEY'S SPEED . THey have no match</t>
  </si>
  <si>
    <t>2nd 2:27</t>
  </si>
  <si>
    <t>Ambush - 70</t>
  </si>
  <si>
    <t>Speed down the side and got beat. Foul from behind</t>
  </si>
  <si>
    <t>Shot the ball 4 times and scored twice. Shoot more! Put the pressure on now</t>
  </si>
  <si>
    <t>3rd 11:04</t>
  </si>
  <si>
    <t>Blast - Challenge</t>
  </si>
  <si>
    <t>Challenging push into boards. 2 Minute paulo</t>
  </si>
  <si>
    <t>Ball always finds Melo on TOB and Corner. Watch the shot. Think back to film</t>
  </si>
  <si>
    <t>Ambush - #17</t>
  </si>
  <si>
    <t>Paulo blue card. Challenge won</t>
  </si>
  <si>
    <t>Look at our shot chart. Why are we not pushing further up and closer to goal?</t>
  </si>
  <si>
    <t>3rd 4:32</t>
  </si>
  <si>
    <t>Blast - #2</t>
  </si>
  <si>
    <t>Holding and pulled down on fast break</t>
  </si>
  <si>
    <t>This is gonna be a battle. Boys need to dig and grind it out. Every ball. Every sprint</t>
  </si>
  <si>
    <t>4th 12:34</t>
  </si>
  <si>
    <t>Blast #19</t>
  </si>
  <si>
    <t>Boarding - Pushed oz into glass</t>
  </si>
  <si>
    <t>Only shooting the ball from wide areas</t>
  </si>
  <si>
    <t>Challenge Lost. Ambush Power Play</t>
  </si>
  <si>
    <t>4th 8:54</t>
  </si>
  <si>
    <t>Ambush Challenge</t>
  </si>
  <si>
    <t>Challenging Handball - Handball lost</t>
  </si>
  <si>
    <t>Giving up easy goals. But we have to keep the offense going</t>
  </si>
  <si>
    <t>4th 1:54</t>
  </si>
  <si>
    <t xml:space="preserve">Ambush </t>
  </si>
  <si>
    <t>Timeout</t>
  </si>
  <si>
    <t xml:space="preserve">Have to get back into the groove of playing our offensive game. Patience. </t>
  </si>
  <si>
    <t xml:space="preserve">Warmup: </t>
  </si>
  <si>
    <t>Andreas 33</t>
  </si>
  <si>
    <t xml:space="preserve">Cannot get wrapped up in the game here. </t>
  </si>
  <si>
    <t>They had 10 shots on us last blue card. Cannot afford Blues</t>
  </si>
  <si>
    <t>Dumping to the corners has relieved us tonight because of their high line</t>
  </si>
  <si>
    <t>Love the workrate and effort from Riley. Need that from everyone. They're slow</t>
  </si>
  <si>
    <t>Sylla</t>
  </si>
  <si>
    <t>We aren't going to the ball. Letting it come to us. Have to work here</t>
  </si>
  <si>
    <t>Poarch</t>
  </si>
  <si>
    <t>SPEED DOWN THE LINE 1v1 WORKS - Oz, Riley, mario</t>
  </si>
  <si>
    <t>Nick Williams</t>
  </si>
  <si>
    <t>If we are gonna draw them out and draw the press then we need to get behind them</t>
  </si>
  <si>
    <t>Nascimento</t>
  </si>
  <si>
    <t>Now that they are starting to get tired, they're looking more direct. Exploit counter here</t>
  </si>
  <si>
    <t>Ospina</t>
  </si>
  <si>
    <t>Continue diving. Play our game. Focus on what we can</t>
  </si>
  <si>
    <t>Guevara</t>
  </si>
  <si>
    <t>Some great blocks. But I don't want to rely on blocks to win a game. Put one in the back net</t>
  </si>
  <si>
    <t>Pereira</t>
  </si>
  <si>
    <t>Melo</t>
  </si>
  <si>
    <t>1st 4:28</t>
  </si>
  <si>
    <t>Ball bounced around and popped out. Riley dribbled around top arc and scored far side</t>
  </si>
  <si>
    <t>Mwape</t>
  </si>
  <si>
    <t>1st 3:02</t>
  </si>
  <si>
    <t>Horizonotal ball movement. Through ball and shot from yellow line</t>
  </si>
  <si>
    <t>Frater</t>
  </si>
  <si>
    <t>1st 1:29</t>
  </si>
  <si>
    <t>Building 4. Ball played to Riley, 1v1 speed to goal</t>
  </si>
  <si>
    <t>Chavez</t>
  </si>
  <si>
    <t>2nd 8:12</t>
  </si>
  <si>
    <t>Pressed. Ball won by Daniel. Pulled defender to him and then  to Togbah who tucked it away</t>
  </si>
  <si>
    <t>Bramusse</t>
  </si>
  <si>
    <t>3rd 12:38</t>
  </si>
  <si>
    <t>Isolated by corner boards. Randy slipped and they took advantage</t>
  </si>
  <si>
    <t>Thompson</t>
  </si>
  <si>
    <t>3rd 9:24</t>
  </si>
  <si>
    <t>PowerPlay goal. Ball dumped to boards and slotted in the middle for a tap in</t>
  </si>
  <si>
    <t>Fisher</t>
  </si>
  <si>
    <t>3rd 8:50</t>
  </si>
  <si>
    <t>Ball played down boards to corner. Oz holds the ball up and slots middle for tap in</t>
  </si>
  <si>
    <t>Rodriquez</t>
  </si>
  <si>
    <t>4th 3:12</t>
  </si>
  <si>
    <t xml:space="preserve">Bomb from far out. No one stepped. </t>
  </si>
  <si>
    <t>Navarrete</t>
  </si>
  <si>
    <t>Counter attack. Numbers not back. Ball stucj under rileys foot and then dove in to block shot</t>
  </si>
  <si>
    <t>3.1.2026 Blast - Home</t>
  </si>
  <si>
    <t>Seems to be some miscommunication on who is marking target. Mario cycle and shake em</t>
  </si>
  <si>
    <t xml:space="preserve">Need some more movement deep - targets. Too stationary.     </t>
  </si>
  <si>
    <t>Good power play. Let's make sure we are laying shots on. Almost too patient at times</t>
  </si>
  <si>
    <t>One deep pass split our entire defense and we lost runners. Sloppy</t>
  </si>
  <si>
    <t>Weak side pass once again. Have to look for outlet. They overcommit the press on boards</t>
  </si>
  <si>
    <t>We are not pressing wide like Jeff asked. All their shots came from wide friday. Deny wide</t>
  </si>
  <si>
    <t>When they build up, its a diamond and a target. Guy from wide makes diagonal run</t>
  </si>
  <si>
    <t>Pressing effective. Especially this goalie. Turnover alomost to goal</t>
  </si>
  <si>
    <t>Line of confrontation again on second goal. No pressure. We know Paulo concedes from far</t>
  </si>
  <si>
    <t>Point that out. Andreas work effort. We need pressure everywhere - they fold and can't match</t>
  </si>
  <si>
    <t>MUCH BETTER PRESSURE / CONFRONTATION - LOVE IT. NOW CONVERT OFFENSIVELY</t>
  </si>
  <si>
    <t>Target involvement is minimal. When we do use them we generate a good chance</t>
  </si>
  <si>
    <t>came out in second quarter flying and dominating and we let off the pedal</t>
  </si>
  <si>
    <t>Speed down the boards. Keep flying at them with speed. 2 Way</t>
  </si>
  <si>
    <t>Disagree with Jamie here. Pressing works. They can't handle it</t>
  </si>
  <si>
    <t>But pressing only works if you cut the horizontal</t>
  </si>
  <si>
    <t>Need more back post runners. Found success here. Shots back post and runners crashing</t>
  </si>
  <si>
    <t>Bryce 9</t>
  </si>
  <si>
    <t>Time / Qtr</t>
  </si>
  <si>
    <t>Person / Team</t>
  </si>
  <si>
    <t>Description</t>
  </si>
  <si>
    <t>Can't just be mario crashing only</t>
  </si>
  <si>
    <t>1st 12:34</t>
  </si>
  <si>
    <t>Navarette - Blast</t>
  </si>
  <si>
    <t>Tookout riley on breakway - shootout</t>
  </si>
  <si>
    <t xml:space="preserve">Do not let off the brakes. Have to keep going in fourth quarter. </t>
  </si>
  <si>
    <t>2nd 4:15</t>
  </si>
  <si>
    <t>Eskay - Ambush</t>
  </si>
  <si>
    <t>Retaliation from behind. Kicking</t>
  </si>
  <si>
    <t>They're starting to push more defenders in the attack. Watch runners and track. Exploit behiind</t>
  </si>
  <si>
    <t>3rd 10:23</t>
  </si>
  <si>
    <t>Boarding. Missed Bluecard - Challenge won</t>
  </si>
  <si>
    <t>Don't sit back here. We saw what our lead did friday</t>
  </si>
  <si>
    <t xml:space="preserve">3rd 10:23 </t>
  </si>
  <si>
    <t>Nico Williams - Blast</t>
  </si>
  <si>
    <t>Blue card boarding</t>
  </si>
  <si>
    <t>Do not lose sight here. Keep playing patient and dominating possession offensively</t>
  </si>
  <si>
    <t>4th 1:52</t>
  </si>
  <si>
    <t>Ambush Challange</t>
  </si>
  <si>
    <t>Challenge lost</t>
  </si>
  <si>
    <t>Nico Williams</t>
  </si>
  <si>
    <t>1st 11:23</t>
  </si>
  <si>
    <t>Power Play - ball dumped to daniel in corner, headed to briggs who slotted to mario and tap in</t>
  </si>
  <si>
    <t>1st 10:28</t>
  </si>
  <si>
    <t>Ball dumped to corner. Played off boaords. Loose mark in the middle</t>
  </si>
  <si>
    <t>Neto</t>
  </si>
  <si>
    <t>1at 3:53</t>
  </si>
  <si>
    <t>Yellow line deep shot. No immediate pressure</t>
  </si>
  <si>
    <t>2nd 1:16</t>
  </si>
  <si>
    <t>TOB Direct Shot. Split wall and boottom corner. Paulo not set</t>
  </si>
  <si>
    <t>3rd 13:10</t>
  </si>
  <si>
    <t>Togbah 1v1 down the boaords to Mario tap in back post</t>
  </si>
  <si>
    <t>4th 13:52</t>
  </si>
  <si>
    <t xml:space="preserve">Shot from distance and everyone crashing at once </t>
  </si>
  <si>
    <t>4th 5:15</t>
  </si>
  <si>
    <t>Pressed higher and forced goalie to turn it over. Shot goal</t>
  </si>
  <si>
    <t>4th 2:15</t>
  </si>
  <si>
    <t>6th attacker goal - deflected and bounced around</t>
  </si>
  <si>
    <t>4th 1:42</t>
  </si>
  <si>
    <t>Ball dumped long and briggs loses mark and beats paulo to punch</t>
  </si>
  <si>
    <t>Date</t>
  </si>
  <si>
    <t>Team</t>
  </si>
  <si>
    <t>GOALS</t>
  </si>
  <si>
    <t>ASSISTS</t>
  </si>
  <si>
    <t xml:space="preserve">SHOTS </t>
  </si>
  <si>
    <t>SHOTS ON TARGET</t>
  </si>
  <si>
    <t xml:space="preserve">SHOTS OFF TARGET </t>
  </si>
  <si>
    <t xml:space="preserve">SHOTS SAVED </t>
  </si>
  <si>
    <t>SHOTS BLOCKED BY OPPONENT</t>
  </si>
  <si>
    <t>CROSSES</t>
  </si>
  <si>
    <t>PASSES</t>
  </si>
  <si>
    <t xml:space="preserve">SUCCESSFUL PASSES </t>
  </si>
  <si>
    <t>UNSUCCESSFUL PASSES</t>
  </si>
  <si>
    <t>SHOT BLOCKS</t>
  </si>
  <si>
    <t>SAVES</t>
  </si>
  <si>
    <t xml:space="preserve">GK THROWS </t>
  </si>
  <si>
    <t>FOULS</t>
  </si>
  <si>
    <t>PASSES PER ATTACK AVG.</t>
  </si>
  <si>
    <t>PASS STRINGS OF 0</t>
  </si>
  <si>
    <t>ATTACKS STARTING FROM DEF THIRD</t>
  </si>
  <si>
    <t>ATTACKS STARTING FROM MID THIRD</t>
  </si>
  <si>
    <t>ATTACKS STARTING FROM FINAL THIRD</t>
  </si>
  <si>
    <t>ATTACKS ENDING IN DEF THIRD</t>
  </si>
  <si>
    <t>ATTACKS ENDING IN MID THIRD</t>
  </si>
  <si>
    <t>ATTACKS ENDING IN FINAL THIRD</t>
  </si>
  <si>
    <t>ATTK OUTCOME - ENDS IN TRANSITION TO DEF</t>
  </si>
  <si>
    <t>ATTK OUTCOME - SHOTS</t>
  </si>
  <si>
    <t>ATTK OUTCOME - FOULS</t>
  </si>
  <si>
    <t xml:space="preserve">ATTK OUTCOME - BALL OUT </t>
  </si>
  <si>
    <t xml:space="preserve">ATTK OUTCOME - GK PICKUP </t>
  </si>
  <si>
    <t>Saint Louis Ambush</t>
  </si>
  <si>
    <t>KC Comets</t>
  </si>
  <si>
    <t>Metric</t>
  </si>
  <si>
    <t>Milwaukee Wave</t>
  </si>
  <si>
    <t>Kansas City Comets</t>
  </si>
  <si>
    <t>Tacoma Stars</t>
  </si>
  <si>
    <t>Empire Strykers</t>
  </si>
  <si>
    <t>Baltimore Blast</t>
  </si>
  <si>
    <t>Utica</t>
  </si>
  <si>
    <t>Ambush Progession Visual</t>
  </si>
  <si>
    <t>Helps understand how Ambush are growing as the season goes on.</t>
  </si>
  <si>
    <t xml:space="preserve">Select your metric to view: </t>
  </si>
  <si>
    <t>*The teal line shows the baseline. This means the collective average. Whereas the pink line serves as how we performed relative to each game.</t>
  </si>
  <si>
    <t xml:space="preserve"> If it is above the line then we performed above average.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</si>
</sst>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/d/yyyy"/>
  </numFmts>
  <fonts count="52">
    <font>
      <sz val="10.0"/>
      <color rgb="FF000000"/>
      <name val="Arial"/>
      <scheme val="minor"/>
    </font>
    <font>
      <b/>
      <sz val="14.0"/>
      <color rgb="FF000000"/>
      <name val="&quot;Roboto Condensed&quot;"/>
    </font>
    <font>
      <sz val="14.0"/>
      <color theme="1"/>
      <name val="Arial"/>
      <scheme val="minor"/>
    </font>
    <font>
      <b/>
      <sz val="14.0"/>
      <color theme="1"/>
      <name val="&quot;Roboto Condensed&quot;"/>
    </font>
    <font>
      <b/>
      <u/>
      <sz val="14.0"/>
      <color rgb="FF0000FF"/>
      <name val="&quot;Roboto Condensed&quot;"/>
    </font>
    <font>
      <sz val="14.0"/>
      <color rgb="FF000000"/>
      <name val="&quot;Roboto Condensed&quot;"/>
    </font>
    <font>
      <sz val="14.0"/>
      <color rgb="FF434343"/>
      <name val="Roboto"/>
    </font>
    <font>
      <b/>
      <u/>
      <sz val="14.0"/>
      <color rgb="FF0000FF"/>
      <name val="&quot;Roboto Condensed&quot;"/>
    </font>
    <font>
      <color theme="1"/>
      <name val="Arial"/>
      <scheme val="minor"/>
    </font>
    <font>
      <b/>
      <u/>
      <sz val="14.0"/>
      <color rgb="FF1155CC"/>
      <name val="&quot;Roboto Condensed&quot;"/>
    </font>
    <font>
      <sz val="11.0"/>
      <color rgb="FF000000"/>
      <name val="&quot;Roboto Condensed&quot;"/>
    </font>
    <font>
      <b/>
      <sz val="14.0"/>
      <color rgb="FF181818"/>
      <name val="&quot;Roboto Condensed&quot;"/>
    </font>
    <font>
      <b/>
      <u/>
      <sz val="14.0"/>
      <color rgb="FF0000FF"/>
      <name val="&quot;Roboto Condensed&quot;"/>
    </font>
    <font>
      <b/>
      <i/>
      <u/>
      <sz val="14.0"/>
      <color theme="0"/>
      <name val="Arial"/>
      <scheme val="minor"/>
    </font>
    <font>
      <b/>
      <i/>
      <sz val="14.0"/>
      <color theme="1"/>
      <name val="Arial"/>
      <scheme val="minor"/>
    </font>
    <font>
      <sz val="14.0"/>
      <color rgb="FF34A853"/>
      <name val="Arial"/>
      <scheme val="minor"/>
    </font>
    <font>
      <sz val="14.0"/>
      <color rgb="FFFF0000"/>
      <name val="Arial"/>
      <scheme val="minor"/>
    </font>
    <font>
      <b/>
      <sz val="14.0"/>
      <color theme="1"/>
      <name val="Arial"/>
      <scheme val="minor"/>
    </font>
    <font>
      <b/>
      <sz val="14.0"/>
      <color theme="1"/>
      <name val="Arial"/>
    </font>
    <font>
      <b/>
      <sz val="14.0"/>
      <color theme="0"/>
      <name val="Arial"/>
    </font>
    <font>
      <sz val="14.0"/>
      <color rgb="FFEE54F4"/>
      <name val="Arial"/>
    </font>
    <font>
      <sz val="14.0"/>
      <color theme="1"/>
      <name val="Arial"/>
    </font>
    <font>
      <color theme="1"/>
      <name val="Arial"/>
    </font>
    <font>
      <b/>
      <u/>
      <sz val="14.0"/>
      <color theme="1"/>
      <name val="Arial"/>
    </font>
    <font>
      <b/>
      <sz val="14.0"/>
      <color rgb="FFFFFFFF"/>
      <name val="Arial"/>
    </font>
    <font>
      <b/>
      <color theme="1"/>
      <name val="Arial"/>
    </font>
    <font>
      <b/>
      <i/>
      <u/>
      <color theme="1"/>
      <name val="Arial"/>
    </font>
    <font>
      <b/>
      <sz val="12.0"/>
      <color rgb="FFFFFFFF"/>
      <name val="Arial"/>
    </font>
    <font>
      <i/>
      <u/>
      <color theme="1"/>
      <name val="Arial"/>
    </font>
    <font>
      <i/>
      <u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2.0"/>
      <color theme="1"/>
      <name val="Arial"/>
    </font>
    <font>
      <i/>
      <u/>
      <color theme="1"/>
      <name val="Arial"/>
    </font>
    <font>
      <b/>
      <sz val="12.0"/>
      <color theme="1"/>
      <name val="Arial"/>
    </font>
    <font>
      <i/>
      <u/>
      <color theme="1"/>
      <name val="Arial"/>
    </font>
    <font>
      <i/>
      <u/>
      <color theme="1"/>
      <name val="Arial"/>
    </font>
    <font>
      <b/>
      <i/>
      <u/>
      <color theme="1"/>
      <name val="Arial"/>
    </font>
    <font>
      <b/>
      <sz val="13.0"/>
      <color theme="1"/>
      <name val="Arial"/>
    </font>
    <font>
      <b/>
      <i/>
      <u/>
      <color rgb="FFFFFFFF"/>
      <name val="Arial"/>
    </font>
    <font>
      <b/>
      <sz val="13.0"/>
      <color rgb="FFFFFFFF"/>
      <name val="Arial"/>
    </font>
    <font>
      <b/>
      <color rgb="FFFFFFFF"/>
      <name val="Arial"/>
    </font>
    <font>
      <sz val="8.0"/>
      <color theme="1"/>
      <name val="Arial"/>
    </font>
    <font>
      <b/>
      <i/>
      <u/>
      <color theme="1"/>
      <name val="Arial"/>
    </font>
    <font>
      <b/>
      <i/>
      <u/>
      <color theme="1"/>
      <name val="Arial"/>
    </font>
    <font>
      <sz val="10.0"/>
      <color rgb="FF000000"/>
      <name val="Calibri"/>
    </font>
    <font>
      <sz val="10.0"/>
      <color theme="1"/>
      <name val="Calibri"/>
    </font>
    <font>
      <color rgb="FF000000"/>
      <name val="&quot;Segoe UI&quot;"/>
    </font>
    <font>
      <b/>
      <color theme="1"/>
      <name val="Arial"/>
      <scheme val="minor"/>
    </font>
    <font>
      <i/>
      <color theme="1"/>
      <name val="Arial"/>
      <scheme val="minor"/>
    </font>
    <font>
      <sz val="11.0"/>
      <color rgb="FF000000"/>
      <name val="&quot;Segoe UI&quot;"/>
    </font>
    <font>
      <sz val="11.0"/>
      <color theme="1"/>
      <name val="'Segoe UI'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rgb="FF0A808B"/>
        <bgColor rgb="FF0A808B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DBF2F4"/>
        <bgColor rgb="FFDBF2F4"/>
      </patternFill>
    </fill>
    <fill>
      <patternFill patternType="solid">
        <fgColor rgb="FFF4CCCC"/>
        <bgColor rgb="FFF4CCCC"/>
      </patternFill>
    </fill>
    <fill>
      <patternFill patternType="solid">
        <fgColor rgb="FFD4C6DE"/>
        <bgColor rgb="FFD4C6DE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073C71"/>
        <bgColor rgb="FF073C71"/>
      </patternFill>
    </fill>
    <fill>
      <patternFill patternType="solid">
        <fgColor rgb="FFA4C2F4"/>
        <bgColor rgb="FFA4C2F4"/>
      </patternFill>
    </fill>
  </fills>
  <borders count="3">
    <border/>
    <border>
      <top style="thin">
        <color rgb="FFBEBEBE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readingOrder="0" shrinkToFit="0" vertical="center" wrapText="0"/>
    </xf>
    <xf borderId="0" fillId="2" fontId="2" numFmtId="0" xfId="0" applyFont="1"/>
    <xf borderId="0" fillId="2" fontId="6" numFmtId="0" xfId="0" applyAlignment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0" fillId="2" fontId="8" numFmtId="0" xfId="0" applyFont="1"/>
    <xf borderId="0" fillId="0" fontId="2" numFmtId="0" xfId="0" applyAlignment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2" fontId="10" numFmtId="0" xfId="0" applyAlignment="1" applyFont="1">
      <alignment horizontal="center" shrinkToFit="0" wrapText="0"/>
    </xf>
    <xf borderId="1" fillId="2" fontId="10" numFmtId="0" xfId="0" applyAlignment="1" applyBorder="1" applyFont="1">
      <alignment horizontal="center" shrinkToFit="0" wrapText="0"/>
    </xf>
    <xf borderId="0" fillId="3" fontId="11" numFmtId="0" xfId="0" applyAlignment="1" applyFill="1" applyFont="1">
      <alignment horizontal="center" readingOrder="0" shrinkToFit="0" wrapText="0"/>
    </xf>
    <xf borderId="0" fillId="3" fontId="11" numFmtId="0" xfId="0" applyAlignment="1" applyFont="1">
      <alignment horizontal="left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0" fontId="12" numFmtId="0" xfId="0" applyAlignment="1" applyFont="1">
      <alignment horizontal="left" readingOrder="0" shrinkToFit="0" wrapText="0"/>
    </xf>
    <xf borderId="0" fillId="2" fontId="5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2" fontId="10" numFmtId="0" xfId="0" applyAlignment="1" applyFont="1">
      <alignment horizontal="center" readingOrder="0" shrinkToFit="0" wrapText="0"/>
    </xf>
    <xf borderId="0" fillId="2" fontId="10" numFmtId="46" xfId="0" applyAlignment="1" applyFont="1" applyNumberFormat="1">
      <alignment horizontal="center" readingOrder="0" shrinkToFit="0" wrapText="0"/>
    </xf>
    <xf borderId="0" fillId="2" fontId="10" numFmtId="0" xfId="0" applyFont="1"/>
    <xf borderId="0" fillId="4" fontId="13" numFmtId="0" xfId="0" applyAlignment="1" applyFill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5" fontId="14" numFmtId="0" xfId="0" applyAlignment="1" applyFill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2" fontId="14" numFmtId="0" xfId="0" applyAlignment="1" applyFont="1">
      <alignment horizontal="center" readingOrder="0"/>
    </xf>
    <xf borderId="0" fillId="6" fontId="14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quotePrefix="1" borderId="0" fillId="5" fontId="15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5" fontId="16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 vertical="bottom"/>
    </xf>
    <xf borderId="0" fillId="4" fontId="19" numFmtId="0" xfId="0" applyAlignment="1" applyFont="1">
      <alignment horizontal="center" readingOrder="0"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2" numFmtId="0" xfId="0" applyAlignment="1" applyFont="1">
      <alignment horizontal="right" vertical="bottom"/>
    </xf>
    <xf borderId="0" fillId="0" fontId="23" numFmtId="0" xfId="0" applyAlignment="1" applyFont="1">
      <alignment vertical="bottom"/>
    </xf>
    <xf borderId="0" fillId="0" fontId="8" numFmtId="10" xfId="0" applyAlignment="1" applyFont="1" applyNumberFormat="1">
      <alignment readingOrder="0"/>
    </xf>
    <xf borderId="0" fillId="0" fontId="18" numFmtId="0" xfId="0" applyAlignment="1" applyFont="1">
      <alignment vertical="bottom"/>
    </xf>
    <xf borderId="0" fillId="4" fontId="24" numFmtId="0" xfId="0" applyAlignment="1" applyFont="1">
      <alignment horizontal="center" readingOrder="0" vertical="bottom"/>
    </xf>
    <xf borderId="0" fillId="0" fontId="20" numFmtId="0" xfId="0" applyAlignment="1" applyFont="1">
      <alignment readingOrder="0" vertical="bottom"/>
    </xf>
    <xf borderId="0" fillId="0" fontId="25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22" numFmtId="0" xfId="0" applyAlignment="1" applyFont="1">
      <alignment horizontal="center" vertical="bottom"/>
    </xf>
    <xf borderId="0" fillId="0" fontId="22" numFmtId="0" xfId="0" applyAlignment="1" applyFont="1">
      <alignment horizontal="center" readingOrder="0" vertical="bottom"/>
    </xf>
    <xf borderId="0" fillId="0" fontId="22" numFmtId="9" xfId="0" applyAlignment="1" applyFont="1" applyNumberFormat="1">
      <alignment horizontal="right" vertical="bottom"/>
    </xf>
    <xf borderId="0" fillId="0" fontId="22" numFmtId="10" xfId="0" applyAlignment="1" applyFont="1" applyNumberFormat="1">
      <alignment horizontal="right" vertical="bottom"/>
    </xf>
    <xf borderId="0" fillId="7" fontId="27" numFmtId="0" xfId="0" applyAlignment="1" applyFill="1" applyFont="1">
      <alignment horizontal="center"/>
    </xf>
    <xf borderId="0" fillId="8" fontId="28" numFmtId="0" xfId="0" applyAlignment="1" applyFill="1" applyFont="1">
      <alignment horizontal="center" vertical="bottom"/>
    </xf>
    <xf borderId="0" fillId="9" fontId="29" numFmtId="0" xfId="0" applyAlignment="1" applyFill="1" applyFont="1">
      <alignment horizontal="center" vertical="bottom"/>
    </xf>
    <xf borderId="0" fillId="8" fontId="22" numFmtId="0" xfId="0" applyAlignment="1" applyFont="1">
      <alignment horizontal="center" vertical="bottom"/>
    </xf>
    <xf borderId="0" fillId="8" fontId="22" numFmtId="0" xfId="0" applyAlignment="1" applyFont="1">
      <alignment vertical="bottom"/>
    </xf>
    <xf borderId="0" fillId="8" fontId="22" numFmtId="0" xfId="0" applyAlignment="1" applyFont="1">
      <alignment horizontal="right" vertical="bottom"/>
    </xf>
    <xf borderId="0" fillId="9" fontId="22" numFmtId="0" xfId="0" applyAlignment="1" applyFont="1">
      <alignment horizontal="center" vertical="bottom"/>
    </xf>
    <xf borderId="0" fillId="9" fontId="22" numFmtId="0" xfId="0" applyAlignment="1" applyFont="1">
      <alignment vertical="bottom"/>
    </xf>
    <xf borderId="0" fillId="9" fontId="22" numFmtId="0" xfId="0" applyAlignment="1" applyFont="1">
      <alignment horizontal="right" vertical="bottom"/>
    </xf>
    <xf borderId="0" fillId="0" fontId="22" numFmtId="0" xfId="0" applyAlignment="1" applyFont="1">
      <alignment vertical="bottom"/>
    </xf>
    <xf borderId="0" fillId="0" fontId="22" numFmtId="164" xfId="0" applyAlignment="1" applyFont="1" applyNumberFormat="1">
      <alignment horizontal="center" vertical="bottom"/>
    </xf>
    <xf borderId="0" fillId="0" fontId="30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2" fillId="0" fontId="22" numFmtId="0" xfId="0" applyAlignment="1" applyBorder="1" applyFont="1">
      <alignment horizontal="center" vertical="bottom"/>
    </xf>
    <xf borderId="2" fillId="0" fontId="22" numFmtId="164" xfId="0" applyAlignment="1" applyBorder="1" applyFont="1" applyNumberFormat="1">
      <alignment horizontal="center" vertical="bottom"/>
    </xf>
    <xf borderId="0" fillId="0" fontId="32" numFmtId="0" xfId="0" applyAlignment="1" applyFont="1">
      <alignment vertical="bottom"/>
    </xf>
    <xf borderId="0" fillId="10" fontId="33" numFmtId="0" xfId="0" applyAlignment="1" applyFill="1" applyFont="1">
      <alignment horizontal="center" vertical="bottom"/>
    </xf>
    <xf borderId="0" fillId="10" fontId="22" numFmtId="0" xfId="0" applyAlignment="1" applyFont="1">
      <alignment horizontal="center" vertical="bottom"/>
    </xf>
    <xf borderId="0" fillId="10" fontId="22" numFmtId="0" xfId="0" applyAlignment="1" applyFont="1">
      <alignment vertical="bottom"/>
    </xf>
    <xf borderId="0" fillId="10" fontId="22" numFmtId="0" xfId="0" applyAlignment="1" applyFont="1">
      <alignment horizontal="right" vertical="bottom"/>
    </xf>
    <xf borderId="0" fillId="0" fontId="34" numFmtId="0" xfId="0" applyAlignment="1" applyFont="1">
      <alignment vertical="bottom"/>
    </xf>
    <xf borderId="0" fillId="0" fontId="22" numFmtId="164" xfId="0" applyAlignment="1" applyFont="1" applyNumberFormat="1">
      <alignment horizontal="right" vertical="bottom"/>
    </xf>
    <xf borderId="0" fillId="2" fontId="22" numFmtId="164" xfId="0" applyAlignment="1" applyFont="1" applyNumberFormat="1">
      <alignment horizontal="right" vertical="bottom"/>
    </xf>
    <xf borderId="0" fillId="11" fontId="35" numFmtId="0" xfId="0" applyAlignment="1" applyFill="1" applyFont="1">
      <alignment horizontal="center" vertical="bottom"/>
    </xf>
    <xf borderId="0" fillId="11" fontId="22" numFmtId="0" xfId="0" applyAlignment="1" applyFont="1">
      <alignment horizontal="center" vertical="bottom"/>
    </xf>
    <xf borderId="0" fillId="11" fontId="22" numFmtId="0" xfId="0" applyAlignment="1" applyFont="1">
      <alignment vertical="bottom"/>
    </xf>
    <xf borderId="0" fillId="11" fontId="22" numFmtId="0" xfId="0" applyAlignment="1" applyFont="1">
      <alignment horizontal="right" vertical="bottom"/>
    </xf>
    <xf borderId="0" fillId="12" fontId="36" numFmtId="0" xfId="0" applyAlignment="1" applyFill="1" applyFont="1">
      <alignment horizontal="center" vertical="bottom"/>
    </xf>
    <xf borderId="0" fillId="12" fontId="22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8" fontId="37" numFmtId="0" xfId="0" applyAlignment="1" applyFont="1">
      <alignment horizontal="center" vertical="bottom"/>
    </xf>
    <xf borderId="0" fillId="8" fontId="38" numFmtId="0" xfId="0" applyAlignment="1" applyFont="1">
      <alignment horizontal="center" vertical="bottom"/>
    </xf>
    <xf borderId="0" fillId="8" fontId="25" numFmtId="0" xfId="0" applyAlignment="1" applyFont="1">
      <alignment horizontal="right" vertical="bottom"/>
    </xf>
    <xf borderId="0" fillId="8" fontId="25" numFmtId="0" xfId="0" applyAlignment="1" applyFont="1">
      <alignment vertical="bottom"/>
    </xf>
    <xf borderId="0" fillId="13" fontId="39" numFmtId="0" xfId="0" applyAlignment="1" applyFill="1" applyFont="1">
      <alignment horizontal="center" vertical="bottom"/>
    </xf>
    <xf borderId="0" fillId="13" fontId="40" numFmtId="0" xfId="0" applyAlignment="1" applyFont="1">
      <alignment horizontal="center" vertical="bottom"/>
    </xf>
    <xf borderId="0" fillId="13" fontId="41" numFmtId="0" xfId="0" applyAlignment="1" applyFont="1">
      <alignment horizontal="right" vertical="bottom"/>
    </xf>
    <xf borderId="0" fillId="13" fontId="22" numFmtId="0" xfId="0" applyAlignment="1" applyFont="1">
      <alignment vertical="bottom"/>
    </xf>
    <xf borderId="0" fillId="13" fontId="41" numFmtId="0" xfId="0" applyAlignment="1" applyFont="1">
      <alignment vertical="bottom"/>
    </xf>
    <xf borderId="0" fillId="12" fontId="22" numFmtId="0" xfId="0" applyAlignment="1" applyFont="1">
      <alignment vertical="bottom"/>
    </xf>
    <xf borderId="0" fillId="0" fontId="42" numFmtId="0" xfId="0" applyAlignment="1" applyFont="1">
      <alignment horizontal="center" vertical="bottom"/>
    </xf>
    <xf borderId="0" fillId="0" fontId="32" numFmtId="0" xfId="0" applyAlignment="1" applyFont="1">
      <alignment vertical="bottom"/>
    </xf>
    <xf borderId="0" fillId="14" fontId="43" numFmtId="0" xfId="0" applyAlignment="1" applyFill="1" applyFont="1">
      <alignment horizontal="center" vertical="bottom"/>
    </xf>
    <xf borderId="0" fillId="14" fontId="38" numFmtId="0" xfId="0" applyAlignment="1" applyFont="1">
      <alignment horizontal="center" vertical="bottom"/>
    </xf>
    <xf borderId="0" fillId="14" fontId="25" numFmtId="0" xfId="0" applyAlignment="1" applyFont="1">
      <alignment horizontal="right" vertical="bottom"/>
    </xf>
    <xf borderId="0" fillId="14" fontId="22" numFmtId="0" xfId="0" applyAlignment="1" applyFont="1">
      <alignment vertical="bottom"/>
    </xf>
    <xf borderId="0" fillId="14" fontId="25" numFmtId="0" xfId="0" applyAlignment="1" applyFont="1">
      <alignment vertical="bottom"/>
    </xf>
    <xf borderId="0" fillId="9" fontId="44" numFmtId="0" xfId="0" applyAlignment="1" applyFont="1">
      <alignment horizontal="center" vertical="bottom"/>
    </xf>
    <xf borderId="0" fillId="9" fontId="38" numFmtId="0" xfId="0" applyAlignment="1" applyFont="1">
      <alignment horizontal="center" vertical="bottom"/>
    </xf>
    <xf borderId="0" fillId="9" fontId="25" numFmtId="0" xfId="0" applyAlignment="1" applyFont="1">
      <alignment horizontal="right" vertical="bottom"/>
    </xf>
    <xf borderId="0" fillId="9" fontId="25" numFmtId="0" xfId="0" applyAlignment="1" applyFont="1">
      <alignment vertical="bottom"/>
    </xf>
    <xf borderId="0" fillId="0" fontId="34" numFmtId="0" xfId="0" applyAlignment="1" applyFont="1">
      <alignment readingOrder="0" vertical="bottom"/>
    </xf>
    <xf borderId="0" fillId="0" fontId="42" numFmtId="164" xfId="0" applyAlignment="1" applyFont="1" applyNumberFormat="1">
      <alignment horizontal="center" vertical="bottom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2" fontId="45" numFmtId="165" xfId="0" applyFont="1" applyNumberFormat="1"/>
    <xf borderId="0" fillId="0" fontId="46" numFmtId="9" xfId="0" applyFont="1" applyNumberFormat="1"/>
    <xf borderId="0" fillId="2" fontId="45" numFmtId="165" xfId="0" applyAlignment="1" applyFont="1" applyNumberFormat="1">
      <alignment readingOrder="0"/>
    </xf>
    <xf borderId="0" fillId="0" fontId="2" numFmtId="10" xfId="0" applyAlignment="1" applyFont="1" applyNumberFormat="1">
      <alignment horizontal="right" readingOrder="0"/>
    </xf>
    <xf borderId="0" fillId="0" fontId="46" numFmtId="10" xfId="0" applyFont="1" applyNumberFormat="1"/>
    <xf borderId="0" fillId="0" fontId="2" numFmtId="0" xfId="0" applyAlignment="1" applyFont="1">
      <alignment horizontal="right" readingOrder="0"/>
    </xf>
    <xf borderId="0" fillId="2" fontId="45" numFmtId="0" xfId="0" applyAlignment="1" applyFont="1">
      <alignment readingOrder="0"/>
    </xf>
    <xf borderId="0" fillId="0" fontId="46" numFmtId="0" xfId="0" applyFont="1"/>
    <xf borderId="0" fillId="2" fontId="47" numFmtId="0" xfId="0" applyAlignment="1" applyFont="1">
      <alignment readingOrder="0"/>
    </xf>
    <xf borderId="0" fillId="0" fontId="48" numFmtId="0" xfId="0" applyAlignment="1" applyFont="1">
      <alignment horizontal="center" readingOrder="0"/>
    </xf>
    <xf borderId="0" fillId="0" fontId="49" numFmtId="0" xfId="0" applyAlignment="1" applyFont="1">
      <alignment readingOrder="0"/>
    </xf>
    <xf borderId="0" fillId="2" fontId="50" numFmtId="0" xfId="0" applyAlignment="1" applyFont="1">
      <alignment readingOrder="0"/>
    </xf>
    <xf borderId="0" fillId="0" fontId="5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lay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layer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A808B"/>
                </a:solidFill>
                <a:latin typeface="Arial black"/>
              </a:defRPr>
            </a:pPr>
            <a:r>
              <a:rPr b="1">
                <a:solidFill>
                  <a:srgbClr val="0A808B"/>
                </a:solidFill>
                <a:latin typeface="Arial black"/>
              </a:rPr>
              <a:t>Ambush Progression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'Hudl Assist Data'!$AG$4</c:f>
            </c:strRef>
          </c:tx>
          <c:spPr>
            <a:ln cmpd="sng" w="38100">
              <a:solidFill>
                <a:srgbClr val="EE54F4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E54F4">
                  <a:alpha val="100000"/>
                </a:srgbClr>
              </a:solidFill>
              <a:ln cmpd="sng">
                <a:solidFill>
                  <a:srgbClr val="EE54F4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A808B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'Hudl Assist Data'!$AF$5:$AF$118</c:f>
            </c:strRef>
          </c:cat>
          <c:val>
            <c:numRef>
              <c:f>'Hudl Assist Data'!$AG$5:$AG$118</c:f>
              <c:numCache/>
            </c:numRef>
          </c:val>
          <c:smooth val="0"/>
        </c:ser>
        <c:axId val="972188560"/>
        <c:axId val="1007612684"/>
      </c:lineChart>
      <c:catAx>
        <c:axId val="972188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1007612684"/>
      </c:catAx>
      <c:valAx>
        <c:axId val="1007612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Selected 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9721885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png"/><Relationship Id="rId10" Type="http://schemas.openxmlformats.org/officeDocument/2006/relationships/image" Target="../media/image9.png"/><Relationship Id="rId13" Type="http://schemas.openxmlformats.org/officeDocument/2006/relationships/image" Target="../media/image8.png"/><Relationship Id="rId12" Type="http://schemas.openxmlformats.org/officeDocument/2006/relationships/image" Target="../media/image10.png"/><Relationship Id="rId1" Type="http://schemas.openxmlformats.org/officeDocument/2006/relationships/image" Target="../media/image1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2.png"/><Relationship Id="rId9" Type="http://schemas.openxmlformats.org/officeDocument/2006/relationships/image" Target="../media/image14.png"/><Relationship Id="rId1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13.png"/><Relationship Id="rId7" Type="http://schemas.openxmlformats.org/officeDocument/2006/relationships/image" Target="../media/image3.png"/><Relationship Id="rId8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85725</xdr:rowOff>
    </xdr:from>
    <xdr:ext cx="6524625" cy="403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1</xdr:row>
      <xdr:rowOff>28575</xdr:rowOff>
    </xdr:from>
    <xdr:ext cx="6743700" cy="409575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28575</xdr:rowOff>
    </xdr:from>
    <xdr:ext cx="7829550" cy="4724400"/>
    <xdr:pic>
      <xdr:nvPicPr>
        <xdr:cNvPr id="0" name="image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24</xdr:row>
      <xdr:rowOff>28575</xdr:rowOff>
    </xdr:from>
    <xdr:ext cx="7829550" cy="47244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50</xdr:row>
      <xdr:rowOff>152400</xdr:rowOff>
    </xdr:from>
    <xdr:ext cx="7639050" cy="4705350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50</xdr:row>
      <xdr:rowOff>133350</xdr:rowOff>
    </xdr:from>
    <xdr:ext cx="7734300" cy="4743450"/>
    <xdr:pic>
      <xdr:nvPicPr>
        <xdr:cNvPr id="0" name="image1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76</xdr:row>
      <xdr:rowOff>200025</xdr:rowOff>
    </xdr:from>
    <xdr:ext cx="7829550" cy="4829175"/>
    <xdr:pic>
      <xdr:nvPicPr>
        <xdr:cNvPr id="0" name="image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76</xdr:row>
      <xdr:rowOff>152400</xdr:rowOff>
    </xdr:from>
    <xdr:ext cx="8029575" cy="4924425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161925</xdr:rowOff>
    </xdr:from>
    <xdr:ext cx="7639050" cy="4791075"/>
    <xdr:pic>
      <xdr:nvPicPr>
        <xdr:cNvPr id="0" name="image1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828675</xdr:colOff>
      <xdr:row>101</xdr:row>
      <xdr:rowOff>76200</xdr:rowOff>
    </xdr:from>
    <xdr:ext cx="8477250" cy="5153025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130</xdr:row>
      <xdr:rowOff>152400</xdr:rowOff>
    </xdr:from>
    <xdr:ext cx="8239125" cy="5010150"/>
    <xdr:pic>
      <xdr:nvPicPr>
        <xdr:cNvPr id="0" name="image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228600</xdr:colOff>
      <xdr:row>129</xdr:row>
      <xdr:rowOff>123825</xdr:rowOff>
    </xdr:from>
    <xdr:ext cx="8753475" cy="5295900"/>
    <xdr:pic>
      <xdr:nvPicPr>
        <xdr:cNvPr id="0" name="image1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-285750</xdr:colOff>
      <xdr:row>157</xdr:row>
      <xdr:rowOff>123825</xdr:rowOff>
    </xdr:from>
    <xdr:ext cx="8620125" cy="5153025"/>
    <xdr:pic>
      <xdr:nvPicPr>
        <xdr:cNvPr id="0" name="image8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838200</xdr:colOff>
      <xdr:row>155</xdr:row>
      <xdr:rowOff>161925</xdr:rowOff>
    </xdr:from>
    <xdr:ext cx="8858250" cy="5724525"/>
    <xdr:pic>
      <xdr:nvPicPr>
        <xdr:cNvPr id="0" name="image5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44</xdr:row>
      <xdr:rowOff>38100</xdr:rowOff>
    </xdr:from>
    <xdr:ext cx="9601200" cy="5934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O29" displayName="Table1" name="Table1" id="1">
  <tableColumns count="15">
    <tableColumn name="#" id="1"/>
    <tableColumn name="Name" id="2"/>
    <tableColumn name="Pos" id="3"/>
    <tableColumn name="G" id="4"/>
    <tableColumn name="A" id="5"/>
    <tableColumn name="Pts" id="6"/>
    <tableColumn name="PIM" id="7"/>
    <tableColumn name="F" id="8"/>
    <tableColumn name="SOG" id="9"/>
    <tableColumn name="BS" id="10"/>
    <tableColumn name="BC" id="11"/>
    <tableColumn name="YC" id="12"/>
    <tableColumn name="RC" id="13"/>
    <tableColumn name="Sh" id="14"/>
    <tableColumn name="GP" id="15"/>
  </tableColumns>
  <tableStyleInfo name="Player-style" showColumnStripes="0" showFirstColumn="1" showLastColumn="1" showRowStripes="1"/>
</table>
</file>

<file path=xl/tables/table2.xml><?xml version="1.0" encoding="utf-8"?>
<table xmlns="http://schemas.openxmlformats.org/spreadsheetml/2006/main" headerRowCount="0" ref="R3:R22" displayName="Table_1" name="Table_1" id="2">
  <tableColumns count="1">
    <tableColumn name="Column1" id="1"/>
  </tableColumns>
  <tableStyleInfo name="Playe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tlambush.com/stats" TargetMode="External"/><Relationship Id="rId11" Type="http://schemas.openxmlformats.org/officeDocument/2006/relationships/hyperlink" Target="https://www.stlambush.com/stats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stlambush.com/stats" TargetMode="External"/><Relationship Id="rId21" Type="http://schemas.openxmlformats.org/officeDocument/2006/relationships/hyperlink" Target="https://www.stlambush.com/stats" TargetMode="External"/><Relationship Id="rId13" Type="http://schemas.openxmlformats.org/officeDocument/2006/relationships/hyperlink" Target="https://www.stlambush.com/stats" TargetMode="External"/><Relationship Id="rId12" Type="http://schemas.openxmlformats.org/officeDocument/2006/relationships/hyperlink" Target="https://www.stlambush.com/stats" TargetMode="External"/><Relationship Id="rId1" Type="http://schemas.openxmlformats.org/officeDocument/2006/relationships/hyperlink" Target="https://www.stlambush.com/stats" TargetMode="External"/><Relationship Id="rId2" Type="http://schemas.openxmlformats.org/officeDocument/2006/relationships/hyperlink" Target="https://www.stlambush.com/stats" TargetMode="External"/><Relationship Id="rId3" Type="http://schemas.openxmlformats.org/officeDocument/2006/relationships/hyperlink" Target="https://www.stlambush.com/stats" TargetMode="External"/><Relationship Id="rId4" Type="http://schemas.openxmlformats.org/officeDocument/2006/relationships/hyperlink" Target="https://www.stlambush.com/stats" TargetMode="External"/><Relationship Id="rId9" Type="http://schemas.openxmlformats.org/officeDocument/2006/relationships/hyperlink" Target="https://www.stlambush.com/stats" TargetMode="External"/><Relationship Id="rId15" Type="http://schemas.openxmlformats.org/officeDocument/2006/relationships/hyperlink" Target="https://www.stlambush.com/stats" TargetMode="External"/><Relationship Id="rId26" Type="http://schemas.openxmlformats.org/officeDocument/2006/relationships/table" Target="../tables/table2.xml"/><Relationship Id="rId14" Type="http://schemas.openxmlformats.org/officeDocument/2006/relationships/hyperlink" Target="https://www.stlambush.com/stats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s://www.stlambush.com/stats" TargetMode="External"/><Relationship Id="rId16" Type="http://schemas.openxmlformats.org/officeDocument/2006/relationships/hyperlink" Target="https://www.stlambush.com/stats" TargetMode="External"/><Relationship Id="rId5" Type="http://schemas.openxmlformats.org/officeDocument/2006/relationships/hyperlink" Target="https://www.stlambush.com/stats" TargetMode="External"/><Relationship Id="rId19" Type="http://schemas.openxmlformats.org/officeDocument/2006/relationships/hyperlink" Target="https://www.stlambush.com/stats" TargetMode="External"/><Relationship Id="rId6" Type="http://schemas.openxmlformats.org/officeDocument/2006/relationships/hyperlink" Target="https://www.stlambush.com/stats" TargetMode="External"/><Relationship Id="rId18" Type="http://schemas.openxmlformats.org/officeDocument/2006/relationships/hyperlink" Target="https://www.stlambush.com/stats" TargetMode="External"/><Relationship Id="rId7" Type="http://schemas.openxmlformats.org/officeDocument/2006/relationships/hyperlink" Target="https://www.stlambush.com/stats" TargetMode="External"/><Relationship Id="rId8" Type="http://schemas.openxmlformats.org/officeDocument/2006/relationships/hyperlink" Target="https://www.stlambush.com/stat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lambush.com/stat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9" max="9" width="12.75"/>
  </cols>
  <sheetData>
    <row r="1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5">
        <v>88.0</v>
      </c>
      <c r="B3" s="6" t="s">
        <v>16</v>
      </c>
      <c r="C3" s="7" t="s">
        <v>8</v>
      </c>
      <c r="D3" s="8">
        <v>3.0</v>
      </c>
      <c r="E3" s="8">
        <v>2.0</v>
      </c>
      <c r="F3" s="8">
        <v>5.0</v>
      </c>
      <c r="G3" s="8">
        <v>2.0</v>
      </c>
      <c r="H3" s="8">
        <v>8.0</v>
      </c>
      <c r="I3" s="8">
        <v>19.0</v>
      </c>
      <c r="J3" s="8">
        <v>2.0</v>
      </c>
      <c r="K3" s="8">
        <v>1.0</v>
      </c>
      <c r="L3" s="8">
        <v>0.0</v>
      </c>
      <c r="M3" s="8">
        <v>0.0</v>
      </c>
      <c r="N3" s="8">
        <v>19.0</v>
      </c>
      <c r="O3" s="8">
        <v>4.0</v>
      </c>
      <c r="P3" s="2"/>
      <c r="Q3" s="9"/>
      <c r="R3" s="10"/>
      <c r="S3" s="9"/>
      <c r="T3" s="2"/>
      <c r="U3" s="2"/>
      <c r="V3" s="2"/>
      <c r="W3" s="2"/>
      <c r="X3" s="2"/>
      <c r="Y3" s="2"/>
      <c r="Z3" s="2"/>
    </row>
    <row r="4" ht="22.5" customHeight="1">
      <c r="A4" s="11">
        <v>10.0</v>
      </c>
      <c r="B4" s="12" t="s">
        <v>17</v>
      </c>
      <c r="C4" s="13" t="s">
        <v>18</v>
      </c>
      <c r="D4" s="14">
        <v>1.0</v>
      </c>
      <c r="E4" s="14">
        <v>5.0</v>
      </c>
      <c r="F4" s="14">
        <v>5.0</v>
      </c>
      <c r="G4" s="14">
        <v>0.0</v>
      </c>
      <c r="H4" s="14">
        <v>8.0</v>
      </c>
      <c r="I4" s="14">
        <v>7.0</v>
      </c>
      <c r="J4" s="14">
        <v>3.0</v>
      </c>
      <c r="K4" s="14">
        <v>0.0</v>
      </c>
      <c r="L4" s="14">
        <v>0.0</v>
      </c>
      <c r="M4" s="14">
        <v>0.0</v>
      </c>
      <c r="N4" s="14">
        <v>7.0</v>
      </c>
      <c r="O4" s="14">
        <v>6.0</v>
      </c>
      <c r="P4" s="2"/>
      <c r="Q4" s="9"/>
      <c r="R4" s="10"/>
      <c r="S4" s="9"/>
      <c r="T4" s="2"/>
      <c r="U4" s="2"/>
      <c r="V4" s="2"/>
      <c r="W4" s="2"/>
      <c r="X4" s="2"/>
      <c r="Y4" s="2"/>
      <c r="Z4" s="2"/>
    </row>
    <row r="5" ht="22.5" customHeight="1">
      <c r="A5" s="11">
        <v>19.0</v>
      </c>
      <c r="B5" s="12" t="s">
        <v>19</v>
      </c>
      <c r="C5" s="13" t="s">
        <v>18</v>
      </c>
      <c r="D5" s="14">
        <v>20.0</v>
      </c>
      <c r="E5" s="14">
        <v>9.0</v>
      </c>
      <c r="F5" s="14">
        <v>29.0</v>
      </c>
      <c r="G5" s="14">
        <v>2.0</v>
      </c>
      <c r="H5" s="14">
        <v>25.0</v>
      </c>
      <c r="I5" s="14">
        <v>127.0</v>
      </c>
      <c r="J5" s="14">
        <v>8.0</v>
      </c>
      <c r="K5" s="14">
        <v>3.0</v>
      </c>
      <c r="L5" s="14">
        <v>0.0</v>
      </c>
      <c r="M5" s="14">
        <v>0.0</v>
      </c>
      <c r="N5" s="14">
        <v>127.0</v>
      </c>
      <c r="O5" s="14">
        <v>19.0</v>
      </c>
      <c r="P5" s="2"/>
      <c r="Q5" s="9"/>
      <c r="R5" s="10"/>
      <c r="S5" s="9"/>
      <c r="T5" s="2"/>
      <c r="U5" s="2"/>
      <c r="V5" s="2"/>
      <c r="W5" s="2"/>
      <c r="X5" s="2"/>
      <c r="Y5" s="2"/>
      <c r="Z5" s="2"/>
    </row>
    <row r="6" ht="22.5" customHeight="1">
      <c r="A6" s="11">
        <v>21.0</v>
      </c>
      <c r="B6" s="12" t="s">
        <v>20</v>
      </c>
      <c r="C6" s="13" t="s">
        <v>21</v>
      </c>
      <c r="D6" s="14">
        <v>1.0</v>
      </c>
      <c r="E6" s="14">
        <v>0.0</v>
      </c>
      <c r="F6" s="14">
        <v>1.0</v>
      </c>
      <c r="G6" s="14">
        <v>0.0</v>
      </c>
      <c r="H6" s="14">
        <v>0.0</v>
      </c>
      <c r="I6" s="14">
        <v>2.0</v>
      </c>
      <c r="J6" s="14">
        <v>0.0</v>
      </c>
      <c r="K6" s="14">
        <v>0.0</v>
      </c>
      <c r="L6" s="14">
        <v>0.0</v>
      </c>
      <c r="M6" s="14">
        <v>0.0</v>
      </c>
      <c r="N6" s="14">
        <v>2.0</v>
      </c>
      <c r="O6" s="14">
        <v>2.0</v>
      </c>
      <c r="P6" s="2"/>
      <c r="Q6" s="9"/>
      <c r="R6" s="10"/>
      <c r="S6" s="9"/>
      <c r="T6" s="2"/>
      <c r="U6" s="2"/>
      <c r="V6" s="2"/>
      <c r="W6" s="2"/>
      <c r="X6" s="2"/>
      <c r="Y6" s="2"/>
      <c r="Z6" s="2"/>
    </row>
    <row r="7" ht="22.5" customHeight="1">
      <c r="A7" s="11">
        <v>93.0</v>
      </c>
      <c r="B7" s="12" t="s">
        <v>22</v>
      </c>
      <c r="C7" s="13" t="s">
        <v>21</v>
      </c>
      <c r="D7" s="14">
        <v>6.0</v>
      </c>
      <c r="E7" s="14">
        <v>6.0</v>
      </c>
      <c r="F7" s="14">
        <v>12.0</v>
      </c>
      <c r="G7" s="14">
        <v>0.0</v>
      </c>
      <c r="H7" s="14">
        <v>11.0</v>
      </c>
      <c r="I7" s="14">
        <v>13.0</v>
      </c>
      <c r="J7" s="14">
        <v>10.0</v>
      </c>
      <c r="K7" s="14">
        <v>0.0</v>
      </c>
      <c r="L7" s="14">
        <v>0.0</v>
      </c>
      <c r="M7" s="14">
        <v>0.0</v>
      </c>
      <c r="N7" s="14">
        <v>14.0</v>
      </c>
      <c r="O7" s="14">
        <v>11.0</v>
      </c>
      <c r="P7" s="2"/>
      <c r="Q7" s="9"/>
      <c r="R7" s="10"/>
      <c r="S7" s="9"/>
      <c r="T7" s="2"/>
      <c r="U7" s="2"/>
      <c r="V7" s="2"/>
      <c r="W7" s="2"/>
      <c r="X7" s="2"/>
      <c r="Y7" s="2"/>
      <c r="Z7" s="2"/>
    </row>
    <row r="8" ht="22.5" customHeight="1">
      <c r="A8" s="11">
        <v>2.0</v>
      </c>
      <c r="B8" s="12" t="s">
        <v>23</v>
      </c>
      <c r="C8" s="13" t="s">
        <v>8</v>
      </c>
      <c r="D8" s="14">
        <v>2.0</v>
      </c>
      <c r="E8" s="14">
        <v>1.0</v>
      </c>
      <c r="F8" s="14">
        <v>3.0</v>
      </c>
      <c r="G8" s="14">
        <v>0.0</v>
      </c>
      <c r="H8" s="14">
        <v>7.0</v>
      </c>
      <c r="I8" s="14">
        <v>19.0</v>
      </c>
      <c r="J8" s="14">
        <v>4.0</v>
      </c>
      <c r="K8" s="14">
        <v>0.0</v>
      </c>
      <c r="L8" s="14">
        <v>0.0</v>
      </c>
      <c r="M8" s="14">
        <v>0.0</v>
      </c>
      <c r="N8" s="14">
        <v>19.0</v>
      </c>
      <c r="O8" s="14">
        <v>8.0</v>
      </c>
      <c r="P8" s="2"/>
      <c r="Q8" s="9"/>
      <c r="R8" s="10"/>
      <c r="S8" s="9"/>
      <c r="T8" s="2"/>
      <c r="U8" s="2"/>
      <c r="V8" s="2"/>
      <c r="W8" s="2"/>
      <c r="X8" s="2"/>
      <c r="Y8" s="2"/>
      <c r="Z8" s="2"/>
    </row>
    <row r="9" ht="22.5" customHeight="1">
      <c r="A9" s="11">
        <v>3.0</v>
      </c>
      <c r="B9" s="12" t="s">
        <v>24</v>
      </c>
      <c r="C9" s="13" t="s">
        <v>21</v>
      </c>
      <c r="D9" s="14">
        <v>3.0</v>
      </c>
      <c r="E9" s="14">
        <v>8.0</v>
      </c>
      <c r="F9" s="14">
        <v>11.0</v>
      </c>
      <c r="G9" s="14">
        <v>0.0</v>
      </c>
      <c r="H9" s="14">
        <v>23.0</v>
      </c>
      <c r="I9" s="14">
        <v>38.0</v>
      </c>
      <c r="J9" s="14">
        <v>17.0</v>
      </c>
      <c r="K9" s="14">
        <v>0.0</v>
      </c>
      <c r="L9" s="14">
        <v>0.0</v>
      </c>
      <c r="M9" s="14">
        <v>0.0</v>
      </c>
      <c r="N9" s="14">
        <v>38.0</v>
      </c>
      <c r="O9" s="14">
        <v>19.0</v>
      </c>
      <c r="P9" s="2"/>
      <c r="Q9" s="9"/>
      <c r="R9" s="10"/>
      <c r="S9" s="9"/>
      <c r="T9" s="2"/>
      <c r="U9" s="2"/>
      <c r="V9" s="2"/>
      <c r="W9" s="2"/>
      <c r="X9" s="2"/>
      <c r="Y9" s="2"/>
      <c r="Z9" s="2"/>
    </row>
    <row r="10" ht="22.5" customHeight="1">
      <c r="A10" s="11">
        <v>5.0</v>
      </c>
      <c r="B10" s="12" t="s">
        <v>25</v>
      </c>
      <c r="C10" s="13" t="s">
        <v>21</v>
      </c>
      <c r="D10" s="14">
        <v>4.0</v>
      </c>
      <c r="E10" s="14">
        <v>4.0</v>
      </c>
      <c r="F10" s="14">
        <v>8.0</v>
      </c>
      <c r="G10" s="14">
        <v>4.0</v>
      </c>
      <c r="H10" s="14">
        <v>17.0</v>
      </c>
      <c r="I10" s="14">
        <v>13.0</v>
      </c>
      <c r="J10" s="14">
        <v>30.0</v>
      </c>
      <c r="K10" s="14">
        <v>2.0</v>
      </c>
      <c r="L10" s="14">
        <v>0.0</v>
      </c>
      <c r="M10" s="14">
        <v>0.0</v>
      </c>
      <c r="N10" s="14">
        <v>13.0</v>
      </c>
      <c r="O10" s="14">
        <v>18.0</v>
      </c>
      <c r="P10" s="2"/>
      <c r="Q10" s="9"/>
      <c r="R10" s="10"/>
      <c r="S10" s="9"/>
      <c r="T10" s="2"/>
      <c r="U10" s="2"/>
      <c r="V10" s="2"/>
      <c r="W10" s="2"/>
      <c r="X10" s="2"/>
      <c r="Y10" s="2"/>
      <c r="Z10" s="2"/>
    </row>
    <row r="11" ht="22.5" customHeight="1">
      <c r="A11" s="11">
        <v>6.0</v>
      </c>
      <c r="B11" s="12" t="s">
        <v>26</v>
      </c>
      <c r="C11" s="13" t="s">
        <v>18</v>
      </c>
      <c r="D11" s="14">
        <v>9.0</v>
      </c>
      <c r="E11" s="14">
        <v>6.0</v>
      </c>
      <c r="F11" s="14">
        <v>15.0</v>
      </c>
      <c r="G11" s="14">
        <v>7.0</v>
      </c>
      <c r="H11" s="14">
        <v>10.0</v>
      </c>
      <c r="I11" s="14">
        <v>26.0</v>
      </c>
      <c r="J11" s="14">
        <v>7.0</v>
      </c>
      <c r="K11" s="14">
        <v>1.0</v>
      </c>
      <c r="L11" s="14">
        <v>1.0</v>
      </c>
      <c r="M11" s="14">
        <v>0.0</v>
      </c>
      <c r="N11" s="14">
        <v>25.0</v>
      </c>
      <c r="O11" s="14">
        <v>16.0</v>
      </c>
      <c r="P11" s="2"/>
      <c r="Q11" s="9"/>
      <c r="R11" s="10"/>
      <c r="S11" s="9"/>
      <c r="T11" s="2"/>
      <c r="U11" s="2"/>
      <c r="V11" s="2"/>
      <c r="W11" s="2"/>
      <c r="X11" s="2"/>
      <c r="Y11" s="2"/>
      <c r="Z11" s="2"/>
    </row>
    <row r="12" ht="22.5" customHeight="1">
      <c r="A12" s="11">
        <v>14.0</v>
      </c>
      <c r="B12" s="12" t="s">
        <v>27</v>
      </c>
      <c r="C12" s="13" t="s">
        <v>18</v>
      </c>
      <c r="D12" s="14">
        <v>10.0</v>
      </c>
      <c r="E12" s="14">
        <v>5.0</v>
      </c>
      <c r="F12" s="14">
        <v>15.0</v>
      </c>
      <c r="G12" s="14">
        <v>4.0</v>
      </c>
      <c r="H12" s="14">
        <v>12.0</v>
      </c>
      <c r="I12" s="14">
        <v>56.0</v>
      </c>
      <c r="J12" s="14">
        <v>12.0</v>
      </c>
      <c r="K12" s="14">
        <v>2.0</v>
      </c>
      <c r="L12" s="14">
        <v>0.0</v>
      </c>
      <c r="M12" s="14">
        <v>0.0</v>
      </c>
      <c r="N12" s="14">
        <v>56.0</v>
      </c>
      <c r="O12" s="14">
        <v>17.0</v>
      </c>
      <c r="P12" s="2"/>
      <c r="Q12" s="9"/>
      <c r="R12" s="10"/>
      <c r="S12" s="9"/>
      <c r="T12" s="2"/>
      <c r="U12" s="2"/>
      <c r="V12" s="2"/>
      <c r="W12" s="2"/>
      <c r="X12" s="2"/>
      <c r="Y12" s="2"/>
      <c r="Z12" s="2"/>
    </row>
    <row r="13" ht="22.5" customHeight="1">
      <c r="A13" s="11">
        <v>20.0</v>
      </c>
      <c r="B13" s="12" t="s">
        <v>28</v>
      </c>
      <c r="C13" s="13" t="s">
        <v>21</v>
      </c>
      <c r="D13" s="14">
        <v>2.0</v>
      </c>
      <c r="E13" s="14">
        <v>1.0</v>
      </c>
      <c r="F13" s="14">
        <v>3.0</v>
      </c>
      <c r="G13" s="14">
        <v>0.0</v>
      </c>
      <c r="H13" s="14">
        <v>6.0</v>
      </c>
      <c r="I13" s="14">
        <v>13.0</v>
      </c>
      <c r="J13" s="14">
        <v>0.0</v>
      </c>
      <c r="K13" s="14">
        <v>0.0</v>
      </c>
      <c r="L13" s="14">
        <v>0.0</v>
      </c>
      <c r="M13" s="14">
        <v>0.0</v>
      </c>
      <c r="N13" s="14">
        <v>13.0</v>
      </c>
      <c r="O13" s="14">
        <v>5.0</v>
      </c>
      <c r="P13" s="2"/>
      <c r="Q13" s="9"/>
      <c r="R13" s="10"/>
      <c r="S13" s="9"/>
      <c r="T13" s="2"/>
      <c r="U13" s="2"/>
      <c r="V13" s="2"/>
      <c r="W13" s="2"/>
      <c r="X13" s="2"/>
      <c r="Y13" s="2"/>
      <c r="Z13" s="2"/>
    </row>
    <row r="14" ht="22.5" customHeight="1">
      <c r="A14" s="11">
        <v>26.0</v>
      </c>
      <c r="B14" s="12" t="s">
        <v>29</v>
      </c>
      <c r="C14" s="13" t="s">
        <v>18</v>
      </c>
      <c r="D14" s="14">
        <v>6.0</v>
      </c>
      <c r="E14" s="14">
        <v>2.0</v>
      </c>
      <c r="F14" s="14">
        <v>8.0</v>
      </c>
      <c r="G14" s="14">
        <v>2.0</v>
      </c>
      <c r="H14" s="14">
        <v>24.0</v>
      </c>
      <c r="I14" s="14">
        <v>27.0</v>
      </c>
      <c r="J14" s="14">
        <v>9.0</v>
      </c>
      <c r="K14" s="14">
        <v>1.0</v>
      </c>
      <c r="L14" s="14">
        <v>0.0</v>
      </c>
      <c r="M14" s="14">
        <v>0.0</v>
      </c>
      <c r="N14" s="14">
        <v>27.0</v>
      </c>
      <c r="O14" s="14">
        <v>18.0</v>
      </c>
      <c r="P14" s="2"/>
      <c r="Q14" s="9"/>
      <c r="R14" s="10"/>
      <c r="S14" s="9"/>
      <c r="T14" s="2"/>
      <c r="U14" s="2"/>
      <c r="V14" s="2"/>
      <c r="W14" s="2"/>
      <c r="X14" s="2"/>
      <c r="Y14" s="2"/>
      <c r="Z14" s="2"/>
    </row>
    <row r="15" ht="22.5" customHeight="1">
      <c r="A15" s="11">
        <v>27.0</v>
      </c>
      <c r="B15" s="12" t="s">
        <v>30</v>
      </c>
      <c r="C15" s="13" t="s">
        <v>18</v>
      </c>
      <c r="D15" s="14">
        <v>0.0</v>
      </c>
      <c r="E15" s="14">
        <v>1.0</v>
      </c>
      <c r="F15" s="14">
        <v>1.0</v>
      </c>
      <c r="G15" s="14">
        <v>2.0</v>
      </c>
      <c r="H15" s="14">
        <v>6.0</v>
      </c>
      <c r="I15" s="14">
        <v>5.0</v>
      </c>
      <c r="J15" s="14">
        <v>0.0</v>
      </c>
      <c r="K15" s="14">
        <v>1.0</v>
      </c>
      <c r="L15" s="14">
        <v>0.0</v>
      </c>
      <c r="M15" s="14">
        <v>0.0</v>
      </c>
      <c r="N15" s="14">
        <v>5.0</v>
      </c>
      <c r="O15" s="14">
        <v>6.0</v>
      </c>
      <c r="P15" s="2"/>
      <c r="Q15" s="9"/>
      <c r="R15" s="10"/>
      <c r="S15" s="9"/>
      <c r="T15" s="2"/>
      <c r="U15" s="2"/>
      <c r="V15" s="2"/>
      <c r="W15" s="2"/>
      <c r="X15" s="2"/>
      <c r="Y15" s="2"/>
      <c r="Z15" s="2"/>
    </row>
    <row r="16" ht="22.5" customHeight="1">
      <c r="A16" s="11">
        <v>66.0</v>
      </c>
      <c r="B16" s="12" t="s">
        <v>31</v>
      </c>
      <c r="C16" s="13" t="s">
        <v>21</v>
      </c>
      <c r="D16" s="14">
        <v>1.0</v>
      </c>
      <c r="E16" s="14">
        <v>1.0</v>
      </c>
      <c r="F16" s="14">
        <v>2.0</v>
      </c>
      <c r="G16" s="14">
        <v>0.0</v>
      </c>
      <c r="H16" s="14">
        <v>13.0</v>
      </c>
      <c r="I16" s="14">
        <v>6.0</v>
      </c>
      <c r="J16" s="14">
        <v>3.0</v>
      </c>
      <c r="K16" s="14">
        <v>0.0</v>
      </c>
      <c r="L16" s="14">
        <v>0.0</v>
      </c>
      <c r="M16" s="14">
        <v>0.0</v>
      </c>
      <c r="N16" s="14">
        <v>6.0</v>
      </c>
      <c r="O16" s="14">
        <v>9.0</v>
      </c>
      <c r="P16" s="2"/>
      <c r="Q16" s="9"/>
      <c r="R16" s="10"/>
      <c r="S16" s="9"/>
      <c r="T16" s="2"/>
      <c r="U16" s="2"/>
      <c r="V16" s="2"/>
      <c r="W16" s="2"/>
      <c r="X16" s="2"/>
      <c r="Y16" s="2"/>
      <c r="Z16" s="2"/>
    </row>
    <row r="17" ht="22.5" customHeight="1">
      <c r="A17" s="11">
        <v>8.0</v>
      </c>
      <c r="B17" s="12" t="s">
        <v>32</v>
      </c>
      <c r="C17" s="13" t="s">
        <v>18</v>
      </c>
      <c r="D17" s="14">
        <v>0.0</v>
      </c>
      <c r="E17" s="14">
        <v>1.0</v>
      </c>
      <c r="F17" s="14">
        <v>1.0</v>
      </c>
      <c r="G17" s="14">
        <v>0.0</v>
      </c>
      <c r="H17" s="14">
        <v>7.0</v>
      </c>
      <c r="I17" s="14">
        <v>9.0</v>
      </c>
      <c r="J17" s="14">
        <v>4.0</v>
      </c>
      <c r="K17" s="14">
        <v>0.0</v>
      </c>
      <c r="L17" s="14">
        <v>0.0</v>
      </c>
      <c r="M17" s="14">
        <v>0.0</v>
      </c>
      <c r="N17" s="14">
        <v>9.0</v>
      </c>
      <c r="O17" s="14">
        <v>8.0</v>
      </c>
      <c r="P17" s="2"/>
      <c r="Q17" s="9"/>
      <c r="R17" s="10"/>
      <c r="S17" s="9"/>
      <c r="T17" s="2"/>
      <c r="U17" s="2"/>
      <c r="V17" s="2"/>
      <c r="W17" s="2"/>
      <c r="X17" s="2"/>
      <c r="Y17" s="2"/>
      <c r="Z17" s="2"/>
    </row>
    <row r="18" ht="22.5" customHeight="1">
      <c r="A18" s="11">
        <v>12.0</v>
      </c>
      <c r="B18" s="12" t="s">
        <v>33</v>
      </c>
      <c r="C18" s="13" t="s">
        <v>8</v>
      </c>
      <c r="D18" s="14">
        <v>12.0</v>
      </c>
      <c r="E18" s="14">
        <v>6.0</v>
      </c>
      <c r="F18" s="14">
        <v>18.0</v>
      </c>
      <c r="G18" s="14">
        <v>0.0</v>
      </c>
      <c r="H18" s="14">
        <v>23.0</v>
      </c>
      <c r="I18" s="14">
        <v>43.0</v>
      </c>
      <c r="J18" s="14">
        <v>4.0</v>
      </c>
      <c r="K18" s="14">
        <v>0.0</v>
      </c>
      <c r="L18" s="14">
        <v>0.0</v>
      </c>
      <c r="M18" s="14">
        <v>0.0</v>
      </c>
      <c r="N18" s="14">
        <v>43.0</v>
      </c>
      <c r="O18" s="14">
        <v>17.0</v>
      </c>
      <c r="P18" s="2"/>
      <c r="Q18" s="9"/>
      <c r="R18" s="10"/>
      <c r="S18" s="9"/>
      <c r="T18" s="2"/>
      <c r="U18" s="2"/>
      <c r="V18" s="2"/>
      <c r="W18" s="2"/>
      <c r="X18" s="2"/>
      <c r="Y18" s="2"/>
      <c r="Z18" s="2"/>
    </row>
    <row r="19" ht="22.5" customHeight="1">
      <c r="A19" s="11">
        <v>22.0</v>
      </c>
      <c r="B19" s="12" t="s">
        <v>34</v>
      </c>
      <c r="C19" s="13" t="s">
        <v>8</v>
      </c>
      <c r="D19" s="14">
        <v>1.0</v>
      </c>
      <c r="E19" s="14">
        <v>0.0</v>
      </c>
      <c r="F19" s="14">
        <v>1.0</v>
      </c>
      <c r="G19" s="14">
        <v>0.0</v>
      </c>
      <c r="H19" s="14">
        <v>1.0</v>
      </c>
      <c r="I19" s="14">
        <v>4.0</v>
      </c>
      <c r="J19" s="14">
        <v>0.0</v>
      </c>
      <c r="K19" s="14">
        <v>0.0</v>
      </c>
      <c r="L19" s="14">
        <v>0.0</v>
      </c>
      <c r="M19" s="14">
        <v>0.0</v>
      </c>
      <c r="N19" s="14">
        <v>4.0</v>
      </c>
      <c r="O19" s="14">
        <v>4.0</v>
      </c>
      <c r="P19" s="2"/>
      <c r="Q19" s="9"/>
      <c r="R19" s="10"/>
      <c r="S19" s="9"/>
      <c r="T19" s="2"/>
      <c r="U19" s="2"/>
      <c r="V19" s="2"/>
      <c r="W19" s="2"/>
      <c r="X19" s="2"/>
      <c r="Y19" s="2"/>
      <c r="Z19" s="2"/>
    </row>
    <row r="20" ht="22.5" customHeight="1">
      <c r="A20" s="11">
        <v>53.0</v>
      </c>
      <c r="B20" s="12" t="s">
        <v>35</v>
      </c>
      <c r="C20" s="13" t="s">
        <v>8</v>
      </c>
      <c r="D20" s="14">
        <v>1.0</v>
      </c>
      <c r="E20" s="14">
        <v>3.0</v>
      </c>
      <c r="F20" s="14">
        <v>4.0</v>
      </c>
      <c r="G20" s="14">
        <v>2.0</v>
      </c>
      <c r="H20" s="14">
        <v>5.0</v>
      </c>
      <c r="I20" s="14">
        <v>9.0</v>
      </c>
      <c r="J20" s="14">
        <v>1.0</v>
      </c>
      <c r="K20" s="14">
        <v>1.0</v>
      </c>
      <c r="L20" s="14">
        <v>0.0</v>
      </c>
      <c r="M20" s="14">
        <v>0.0</v>
      </c>
      <c r="N20" s="14">
        <v>9.0</v>
      </c>
      <c r="O20" s="14">
        <v>7.0</v>
      </c>
      <c r="P20" s="2"/>
      <c r="Q20" s="9"/>
      <c r="R20" s="10"/>
      <c r="S20" s="9"/>
      <c r="T20" s="2"/>
      <c r="U20" s="2"/>
      <c r="V20" s="2"/>
      <c r="W20" s="2"/>
      <c r="X20" s="2"/>
      <c r="Y20" s="2"/>
      <c r="Z20" s="2"/>
    </row>
    <row r="21" ht="22.5" customHeight="1">
      <c r="A21" s="11">
        <v>77.0</v>
      </c>
      <c r="B21" s="12" t="s">
        <v>36</v>
      </c>
      <c r="C21" s="13" t="s">
        <v>8</v>
      </c>
      <c r="D21" s="14">
        <v>0.0</v>
      </c>
      <c r="E21" s="14">
        <v>0.0</v>
      </c>
      <c r="F21" s="14">
        <v>0.0</v>
      </c>
      <c r="G21" s="14">
        <v>2.0</v>
      </c>
      <c r="H21" s="14">
        <v>6.0</v>
      </c>
      <c r="I21" s="14">
        <v>4.0</v>
      </c>
      <c r="J21" s="14">
        <v>3.0</v>
      </c>
      <c r="K21" s="14">
        <v>1.0</v>
      </c>
      <c r="L21" s="14">
        <v>0.0</v>
      </c>
      <c r="M21" s="14">
        <v>0.0</v>
      </c>
      <c r="N21" s="14">
        <v>4.0</v>
      </c>
      <c r="O21" s="14">
        <v>4.0</v>
      </c>
      <c r="P21" s="2"/>
      <c r="Q21" s="9"/>
      <c r="R21" s="10"/>
      <c r="S21" s="9"/>
      <c r="T21" s="2"/>
      <c r="U21" s="2"/>
      <c r="V21" s="2"/>
      <c r="W21" s="2"/>
      <c r="X21" s="2"/>
      <c r="Y21" s="2"/>
      <c r="Z21" s="2"/>
    </row>
    <row r="22" ht="22.5" customHeight="1">
      <c r="A22" s="11">
        <v>91.0</v>
      </c>
      <c r="B22" s="12" t="s">
        <v>37</v>
      </c>
      <c r="C22" s="13" t="s">
        <v>18</v>
      </c>
      <c r="D22" s="14">
        <v>7.0</v>
      </c>
      <c r="E22" s="14">
        <v>6.0</v>
      </c>
      <c r="F22" s="14">
        <v>13.0</v>
      </c>
      <c r="G22" s="14">
        <v>2.0</v>
      </c>
      <c r="H22" s="14">
        <v>13.0</v>
      </c>
      <c r="I22" s="14">
        <v>20.0</v>
      </c>
      <c r="J22" s="14">
        <v>21.0</v>
      </c>
      <c r="K22" s="14">
        <v>0.0</v>
      </c>
      <c r="L22" s="14">
        <v>0.0</v>
      </c>
      <c r="M22" s="14">
        <v>0.0</v>
      </c>
      <c r="N22" s="14">
        <v>20.0</v>
      </c>
      <c r="O22" s="14">
        <v>16.0</v>
      </c>
      <c r="Q22" s="15"/>
      <c r="R22" s="10"/>
      <c r="S22" s="15"/>
    </row>
    <row r="23" ht="22.5" customHeight="1">
      <c r="A23" s="11">
        <v>23.0</v>
      </c>
      <c r="B23" s="12" t="s">
        <v>38</v>
      </c>
      <c r="C23" s="13" t="s">
        <v>21</v>
      </c>
      <c r="D23" s="14">
        <v>5.0</v>
      </c>
      <c r="E23" s="14">
        <v>5.0</v>
      </c>
      <c r="F23" s="14">
        <v>10.0</v>
      </c>
      <c r="G23" s="14">
        <v>2.0</v>
      </c>
      <c r="H23" s="14">
        <v>19.0</v>
      </c>
      <c r="I23" s="14">
        <v>15.0</v>
      </c>
      <c r="J23" s="14">
        <v>8.0</v>
      </c>
      <c r="K23" s="14">
        <v>1.0</v>
      </c>
      <c r="L23" s="14">
        <v>0.0</v>
      </c>
      <c r="M23" s="14">
        <v>0.0</v>
      </c>
      <c r="N23" s="14">
        <v>15.0</v>
      </c>
      <c r="O23" s="16">
        <v>13.0</v>
      </c>
      <c r="P23" s="2"/>
      <c r="Q23" s="9"/>
      <c r="R23" s="9"/>
      <c r="S23" s="9"/>
      <c r="T23" s="2"/>
      <c r="U23" s="2"/>
      <c r="V23" s="2"/>
      <c r="W23" s="2"/>
      <c r="X23" s="2"/>
      <c r="Y23" s="2"/>
      <c r="Z23" s="2"/>
    </row>
    <row r="24" ht="22.5" customHeight="1">
      <c r="A24" s="11">
        <v>11.0</v>
      </c>
      <c r="B24" s="17" t="s">
        <v>39</v>
      </c>
      <c r="C24" s="13" t="s">
        <v>21</v>
      </c>
      <c r="D24" s="14">
        <v>7.0</v>
      </c>
      <c r="E24" s="14">
        <v>2.0</v>
      </c>
      <c r="F24" s="14">
        <v>9.0</v>
      </c>
      <c r="G24" s="14">
        <v>0.0</v>
      </c>
      <c r="H24" s="14">
        <v>10.0</v>
      </c>
      <c r="I24" s="14">
        <v>21.0</v>
      </c>
      <c r="J24" s="14">
        <v>2.0</v>
      </c>
      <c r="K24" s="14">
        <v>0.0</v>
      </c>
      <c r="L24" s="14">
        <v>0.0</v>
      </c>
      <c r="M24" s="14">
        <v>0.0</v>
      </c>
      <c r="N24" s="14">
        <v>21.0</v>
      </c>
      <c r="O24" s="16">
        <v>7.0</v>
      </c>
      <c r="P24" s="18"/>
      <c r="Q24" s="19"/>
      <c r="R24" s="19"/>
      <c r="S24" s="19"/>
      <c r="T24" s="18"/>
      <c r="U24" s="18"/>
      <c r="V24" s="18"/>
      <c r="W24" s="18"/>
      <c r="X24" s="18"/>
      <c r="Y24" s="18"/>
      <c r="Z24" s="18"/>
    </row>
    <row r="25" ht="22.5" customHeight="1">
      <c r="A25" s="11">
        <v>33.0</v>
      </c>
      <c r="B25" s="17" t="s">
        <v>40</v>
      </c>
      <c r="C25" s="13" t="s">
        <v>21</v>
      </c>
      <c r="D25" s="14">
        <v>2.0</v>
      </c>
      <c r="E25" s="14">
        <v>2.0</v>
      </c>
      <c r="F25" s="14">
        <v>4.0</v>
      </c>
      <c r="G25" s="14">
        <v>2.0</v>
      </c>
      <c r="H25" s="14">
        <v>8.0</v>
      </c>
      <c r="I25" s="14">
        <v>6.0</v>
      </c>
      <c r="J25" s="14">
        <v>4.0</v>
      </c>
      <c r="K25" s="14">
        <v>1.0</v>
      </c>
      <c r="L25" s="14">
        <v>0.0</v>
      </c>
      <c r="M25" s="14">
        <v>0.0</v>
      </c>
      <c r="N25" s="14">
        <v>6.0</v>
      </c>
      <c r="O25" s="16">
        <v>10.0</v>
      </c>
      <c r="P25" s="18"/>
      <c r="Q25" s="19"/>
      <c r="R25" s="19"/>
      <c r="S25" s="19"/>
      <c r="T25" s="18"/>
      <c r="U25" s="18"/>
      <c r="V25" s="18"/>
      <c r="W25" s="18"/>
      <c r="X25" s="18"/>
      <c r="Y25" s="18"/>
      <c r="Z25" s="18"/>
    </row>
    <row r="26" ht="22.5" customHeight="1">
      <c r="A26" s="11">
        <v>25.0</v>
      </c>
      <c r="B26" s="17" t="s">
        <v>41</v>
      </c>
      <c r="C26" s="13" t="s">
        <v>21</v>
      </c>
      <c r="D26" s="14">
        <v>0.0</v>
      </c>
      <c r="E26" s="14">
        <v>1.0</v>
      </c>
      <c r="F26" s="14">
        <v>1.0</v>
      </c>
      <c r="G26" s="14">
        <v>0.0</v>
      </c>
      <c r="H26" s="14">
        <v>2.0</v>
      </c>
      <c r="I26" s="14">
        <v>3.0</v>
      </c>
      <c r="J26" s="14">
        <v>1.0</v>
      </c>
      <c r="K26" s="14">
        <v>1.0</v>
      </c>
      <c r="L26" s="14">
        <v>0.0</v>
      </c>
      <c r="M26" s="14">
        <v>0.0</v>
      </c>
      <c r="N26" s="14">
        <v>3.0</v>
      </c>
      <c r="O26" s="16">
        <v>4.0</v>
      </c>
      <c r="P26" s="18"/>
      <c r="Q26" s="19"/>
      <c r="R26" s="19"/>
      <c r="S26" s="19"/>
      <c r="T26" s="18"/>
      <c r="U26" s="18"/>
      <c r="V26" s="18"/>
      <c r="W26" s="18"/>
      <c r="X26" s="18"/>
      <c r="Y26" s="18"/>
      <c r="Z26" s="18"/>
    </row>
    <row r="27" ht="22.5" customHeight="1">
      <c r="A27" s="11">
        <v>70.0</v>
      </c>
      <c r="B27" s="17" t="s">
        <v>42</v>
      </c>
      <c r="C27" s="13" t="s">
        <v>8</v>
      </c>
      <c r="D27" s="14">
        <v>3.0</v>
      </c>
      <c r="E27" s="14">
        <v>1.0</v>
      </c>
      <c r="F27" s="14">
        <v>4.0</v>
      </c>
      <c r="G27" s="14">
        <v>2.0</v>
      </c>
      <c r="H27" s="14">
        <v>7.0</v>
      </c>
      <c r="I27" s="14">
        <v>14.0</v>
      </c>
      <c r="J27" s="14">
        <v>2.0</v>
      </c>
      <c r="K27" s="14">
        <v>1.0</v>
      </c>
      <c r="L27" s="14">
        <v>0.0</v>
      </c>
      <c r="M27" s="14">
        <v>0.0</v>
      </c>
      <c r="N27" s="14">
        <v>14.0</v>
      </c>
      <c r="O27" s="16">
        <v>6.0</v>
      </c>
      <c r="P27" s="18"/>
      <c r="Q27" s="19"/>
      <c r="R27" s="19"/>
      <c r="S27" s="19"/>
      <c r="T27" s="18"/>
      <c r="U27" s="18"/>
      <c r="V27" s="18"/>
      <c r="W27" s="18"/>
      <c r="X27" s="18"/>
      <c r="Y27" s="18"/>
      <c r="Z27" s="18"/>
    </row>
    <row r="28" ht="22.5" customHeight="1">
      <c r="A28" s="11">
        <v>49.0</v>
      </c>
      <c r="B28" s="17" t="s">
        <v>43</v>
      </c>
      <c r="C28" s="13" t="s">
        <v>8</v>
      </c>
      <c r="D28" s="14">
        <v>1.0</v>
      </c>
      <c r="E28" s="14">
        <v>0.0</v>
      </c>
      <c r="F28" s="14">
        <v>1.0</v>
      </c>
      <c r="G28" s="14">
        <v>0.0</v>
      </c>
      <c r="H28" s="14">
        <v>1.0</v>
      </c>
      <c r="I28" s="14">
        <v>5.0</v>
      </c>
      <c r="J28" s="14">
        <v>1.0</v>
      </c>
      <c r="K28" s="14">
        <v>0.0</v>
      </c>
      <c r="L28" s="14">
        <v>0.0</v>
      </c>
      <c r="M28" s="14">
        <v>0.0</v>
      </c>
      <c r="N28" s="14">
        <v>5.0</v>
      </c>
      <c r="O28" s="16">
        <v>1.0</v>
      </c>
      <c r="P28" s="18"/>
      <c r="Q28" s="19"/>
      <c r="R28" s="19"/>
      <c r="S28" s="19"/>
      <c r="T28" s="18"/>
      <c r="U28" s="18"/>
      <c r="V28" s="18"/>
      <c r="W28" s="18"/>
      <c r="X28" s="18"/>
      <c r="Y28" s="18"/>
      <c r="Z28" s="18"/>
    </row>
    <row r="29" ht="22.5" customHeight="1">
      <c r="A29" s="11">
        <v>96.0</v>
      </c>
      <c r="B29" s="17" t="s">
        <v>44</v>
      </c>
      <c r="C29" s="13" t="s">
        <v>8</v>
      </c>
      <c r="D29" s="14">
        <v>1.0</v>
      </c>
      <c r="E29" s="14">
        <v>1.0</v>
      </c>
      <c r="F29" s="14">
        <v>2.0</v>
      </c>
      <c r="G29" s="14">
        <v>0.0</v>
      </c>
      <c r="H29" s="14">
        <v>7.0</v>
      </c>
      <c r="I29" s="14">
        <v>3.0</v>
      </c>
      <c r="J29" s="14">
        <v>2.0</v>
      </c>
      <c r="K29" s="14">
        <v>0.0</v>
      </c>
      <c r="L29" s="14">
        <v>0.0</v>
      </c>
      <c r="M29" s="14">
        <v>0.0</v>
      </c>
      <c r="N29" s="14">
        <v>3.0</v>
      </c>
      <c r="O29" s="16">
        <v>5.0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</sheetData>
  <dataValidations>
    <dataValidation type="custom" allowBlank="1" showDropDown="1" sqref="A3:A29 D3:O29">
      <formula1>AND(ISNUMBER(A3),(NOT(OR(NOT(ISERROR(DATEVALUE(A3))), AND(ISNUMBER(A3), LEFT(CELL("format", A3))="D")))))</formula1>
    </dataValidation>
    <dataValidation type="list" allowBlank="1" showDropDown="1" showErrorMessage="1" sqref="C3:C29">
      <formula1>"F,M,D"</formula1>
    </dataValidation>
  </dataValidations>
  <hyperlinks>
    <hyperlink r:id="rId1" location="/player/490121" ref="B3"/>
    <hyperlink r:id="rId2" location="/player/121967" ref="B4"/>
    <hyperlink r:id="rId3" location="/player/2859315" ref="B5"/>
    <hyperlink r:id="rId4" location="/player/1036549" ref="B6"/>
    <hyperlink r:id="rId5" location="/player/499907" ref="B7"/>
    <hyperlink r:id="rId6" location="/player/945877" ref="B8"/>
    <hyperlink r:id="rId7" location="/player/729245" ref="B9"/>
    <hyperlink r:id="rId8" location="/player/738342" ref="B10"/>
    <hyperlink r:id="rId9" location="/player/2034977" ref="B11"/>
    <hyperlink r:id="rId10" location="/player/321145" ref="B12"/>
    <hyperlink r:id="rId11" location="/player/206904" ref="B13"/>
    <hyperlink r:id="rId12" location="/player/992265" ref="B14"/>
    <hyperlink r:id="rId13" location="/player/2203193" ref="B15"/>
    <hyperlink r:id="rId14" location="/player/212606" ref="B16"/>
    <hyperlink r:id="rId15" location="/player/2954460" ref="B17"/>
    <hyperlink r:id="rId16" location="/player/3478163" ref="B18"/>
    <hyperlink r:id="rId17" location="/player/1267808" ref="B19"/>
    <hyperlink r:id="rId18" location="/player/972041" ref="B20"/>
    <hyperlink r:id="rId19" location="/player/1439418" ref="B21"/>
    <hyperlink r:id="rId20" location="/player/2018996" ref="B22"/>
    <hyperlink r:id="rId21" location="/player/3481903" ref="B23"/>
  </hyperlinks>
  <drawing r:id="rId22"/>
  <tableParts count="2">
    <tablePart r:id="rId25"/>
    <tablePart r:id="rId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6" max="6" width="14.25"/>
  </cols>
  <sheetData>
    <row r="1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2" t="s">
        <v>1</v>
      </c>
      <c r="B2" s="23" t="s">
        <v>2</v>
      </c>
      <c r="C2" s="22" t="s">
        <v>46</v>
      </c>
      <c r="D2" s="22" t="s">
        <v>47</v>
      </c>
      <c r="E2" s="22" t="s">
        <v>48</v>
      </c>
      <c r="F2" s="22" t="s">
        <v>49</v>
      </c>
      <c r="G2" s="22" t="s">
        <v>7</v>
      </c>
      <c r="H2" s="22" t="s">
        <v>4</v>
      </c>
      <c r="I2" s="22" t="s">
        <v>5</v>
      </c>
      <c r="J2" s="22" t="s">
        <v>8</v>
      </c>
      <c r="K2" s="22" t="s">
        <v>11</v>
      </c>
      <c r="L2" s="22" t="s">
        <v>12</v>
      </c>
      <c r="M2" s="22" t="s">
        <v>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4">
        <v>17.0</v>
      </c>
      <c r="B3" s="25" t="s">
        <v>50</v>
      </c>
      <c r="C3" s="26">
        <f>18+15+18+17+16+26+14+28+15+23+11+23+16+15+8+15+15</f>
        <v>293</v>
      </c>
      <c r="D3" s="26">
        <v>77.0</v>
      </c>
      <c r="E3" s="26">
        <v>217.0</v>
      </c>
      <c r="F3" s="26">
        <f>(0.722+0.467+0.667+0.882+0.813+0.654+0.714+0.786+0.6+0.913+0.727+0.696+0.688+0.8+1+0.733+0.667)/17</f>
        <v>0.737</v>
      </c>
      <c r="G3" s="26">
        <v>11.0</v>
      </c>
      <c r="H3" s="26">
        <v>0.0</v>
      </c>
      <c r="I3" s="26">
        <v>1.0</v>
      </c>
      <c r="J3" s="26">
        <v>0.0</v>
      </c>
      <c r="K3" s="26">
        <v>3.0</v>
      </c>
      <c r="L3" s="26">
        <v>1.0</v>
      </c>
      <c r="M3" s="26">
        <v>0.0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4">
        <v>99.0</v>
      </c>
      <c r="B4" s="27" t="s">
        <v>51</v>
      </c>
      <c r="C4" s="26">
        <v>2.0</v>
      </c>
      <c r="D4" s="26">
        <v>2.0</v>
      </c>
      <c r="E4" s="26">
        <v>0.0</v>
      </c>
      <c r="F4" s="26">
        <v>0.0</v>
      </c>
      <c r="G4" s="26">
        <v>0.0</v>
      </c>
      <c r="H4" s="26">
        <v>0.0</v>
      </c>
      <c r="I4" s="26">
        <v>0.0</v>
      </c>
      <c r="J4" s="26">
        <v>0.0</v>
      </c>
      <c r="K4" s="26">
        <v>0.0</v>
      </c>
      <c r="L4" s="26">
        <v>0.0</v>
      </c>
      <c r="M4" s="26">
        <v>0.0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4">
        <v>0.0</v>
      </c>
      <c r="B5" s="27" t="s">
        <v>52</v>
      </c>
      <c r="C5" s="26">
        <f>14+22</f>
        <v>36</v>
      </c>
      <c r="D5" s="26">
        <v>10.0</v>
      </c>
      <c r="E5" s="26">
        <v>26.0</v>
      </c>
      <c r="F5" s="26">
        <f>(0.714+0.727)/2</f>
        <v>0.7205</v>
      </c>
      <c r="G5" s="26">
        <v>0.0</v>
      </c>
      <c r="H5" s="26">
        <v>0.0</v>
      </c>
      <c r="I5" s="26">
        <v>1.0</v>
      </c>
      <c r="J5" s="26">
        <v>0.0</v>
      </c>
      <c r="K5" s="26">
        <v>0.0</v>
      </c>
      <c r="L5" s="26">
        <v>0.0</v>
      </c>
      <c r="M5" s="26">
        <v>0.0</v>
      </c>
      <c r="N5" s="20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8"/>
      <c r="B6" s="28"/>
      <c r="C6" s="28"/>
      <c r="D6" s="28"/>
      <c r="E6" s="28"/>
      <c r="F6" s="28"/>
      <c r="G6" s="26"/>
      <c r="H6" s="26"/>
      <c r="I6" s="26"/>
      <c r="J6" s="26"/>
      <c r="K6" s="26"/>
      <c r="L6" s="26"/>
      <c r="M6" s="26"/>
      <c r="N6" s="28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8"/>
      <c r="B7" s="28"/>
      <c r="C7" s="28"/>
      <c r="D7" s="28"/>
      <c r="E7" s="29"/>
      <c r="F7" s="28"/>
      <c r="G7" s="28"/>
      <c r="H7" s="28"/>
      <c r="I7" s="28"/>
      <c r="J7" s="28"/>
      <c r="K7" s="28"/>
      <c r="L7" s="28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8"/>
      <c r="F35" s="28"/>
      <c r="G35" s="28"/>
      <c r="H35" s="28"/>
      <c r="I35" s="28"/>
      <c r="J35" s="29"/>
      <c r="K35" s="28"/>
      <c r="L35" s="28"/>
      <c r="M35" s="28"/>
      <c r="N35" s="28"/>
      <c r="O35" s="28"/>
      <c r="P35" s="28"/>
      <c r="Q35" s="20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3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</sheetData>
  <hyperlinks>
    <hyperlink r:id="rId1" location="/player/206808" ref="B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hidden="1" min="6" max="12" width="12.63"/>
  </cols>
  <sheetData>
    <row r="1">
      <c r="A1" s="31" t="s">
        <v>53</v>
      </c>
    </row>
    <row r="2">
      <c r="A2" s="32" t="s">
        <v>54</v>
      </c>
      <c r="B2" s="32" t="s">
        <v>55</v>
      </c>
      <c r="C2" s="32" t="s">
        <v>56</v>
      </c>
      <c r="D2" s="33" t="s">
        <v>57</v>
      </c>
      <c r="E2" s="33" t="s">
        <v>58</v>
      </c>
      <c r="G2" s="34" t="s">
        <v>59</v>
      </c>
      <c r="H2" s="34">
        <v>12.15</v>
      </c>
      <c r="I2" s="34">
        <v>12.19</v>
      </c>
      <c r="J2" s="34">
        <v>12.21</v>
      </c>
      <c r="K2" s="35">
        <v>12.27</v>
      </c>
      <c r="L2" s="35">
        <v>12.31</v>
      </c>
      <c r="M2" s="36">
        <v>1.4</v>
      </c>
      <c r="N2" s="36">
        <v>1.11</v>
      </c>
      <c r="O2" s="36">
        <v>1.16</v>
      </c>
      <c r="P2" s="36">
        <v>1.24</v>
      </c>
      <c r="Q2" s="36">
        <v>1.25</v>
      </c>
      <c r="R2" s="36">
        <v>2.8</v>
      </c>
      <c r="S2" s="36">
        <v>2.14</v>
      </c>
      <c r="T2" s="36">
        <v>2.16</v>
      </c>
      <c r="U2" s="36">
        <v>2.21</v>
      </c>
      <c r="V2" s="36">
        <v>2.22</v>
      </c>
      <c r="W2" s="36">
        <v>2.27</v>
      </c>
      <c r="X2" s="36">
        <v>3.1</v>
      </c>
    </row>
    <row r="3">
      <c r="A3" s="37" t="s">
        <v>60</v>
      </c>
      <c r="B3" s="37">
        <v>46.0</v>
      </c>
      <c r="C3" s="37">
        <v>25.0</v>
      </c>
      <c r="D3" s="38">
        <v>21.0</v>
      </c>
      <c r="E3" s="39" t="s">
        <v>61</v>
      </c>
      <c r="G3" s="37">
        <v>-2.0</v>
      </c>
      <c r="H3" s="37">
        <v>1.0</v>
      </c>
      <c r="I3" s="37">
        <v>2.0</v>
      </c>
      <c r="J3" s="37">
        <v>-1.0</v>
      </c>
      <c r="K3" s="40">
        <v>0.0</v>
      </c>
      <c r="L3" s="41">
        <v>4.0</v>
      </c>
      <c r="M3" s="41">
        <v>0.0</v>
      </c>
      <c r="N3" s="41">
        <v>2.0</v>
      </c>
      <c r="O3" s="37">
        <v>0.0</v>
      </c>
      <c r="P3" s="37" t="s">
        <v>62</v>
      </c>
      <c r="Q3" s="37" t="s">
        <v>62</v>
      </c>
      <c r="R3" s="37">
        <v>2.0</v>
      </c>
      <c r="S3" s="37">
        <v>4.0</v>
      </c>
      <c r="T3" s="37">
        <v>2.0</v>
      </c>
      <c r="U3" s="37">
        <v>5.0</v>
      </c>
      <c r="V3" s="37">
        <v>1.0</v>
      </c>
      <c r="W3" s="37">
        <v>1.0</v>
      </c>
      <c r="X3" s="37">
        <v>0.0</v>
      </c>
      <c r="Y3" s="37"/>
    </row>
    <row r="4">
      <c r="A4" s="37" t="s">
        <v>63</v>
      </c>
      <c r="B4" s="37">
        <v>38.0</v>
      </c>
      <c r="C4" s="37">
        <v>23.0</v>
      </c>
      <c r="D4" s="38">
        <v>15.0</v>
      </c>
      <c r="E4" s="42">
        <v>-1.0</v>
      </c>
      <c r="G4" s="37">
        <v>-3.0</v>
      </c>
      <c r="H4" s="37">
        <v>1.0</v>
      </c>
      <c r="I4" s="37">
        <v>1.0</v>
      </c>
      <c r="J4" s="37">
        <v>1.0</v>
      </c>
      <c r="K4" s="40">
        <v>-1.0</v>
      </c>
      <c r="L4" s="41">
        <v>0.0</v>
      </c>
      <c r="M4" s="41">
        <v>0.0</v>
      </c>
      <c r="N4" s="41">
        <v>3.0</v>
      </c>
      <c r="O4" s="37">
        <v>0.0</v>
      </c>
      <c r="P4" s="37">
        <v>3.0</v>
      </c>
      <c r="Q4" s="37">
        <v>2.0</v>
      </c>
      <c r="R4" s="37">
        <v>0.0</v>
      </c>
      <c r="S4" s="37">
        <v>2.0</v>
      </c>
      <c r="T4" s="37">
        <v>1.0</v>
      </c>
      <c r="U4" s="37">
        <v>5.0</v>
      </c>
      <c r="V4" s="37">
        <v>1.0</v>
      </c>
      <c r="W4" s="37">
        <v>0.0</v>
      </c>
      <c r="X4" s="37">
        <v>-1.0</v>
      </c>
      <c r="Y4" s="37"/>
    </row>
    <row r="5">
      <c r="A5" s="37" t="s">
        <v>39</v>
      </c>
      <c r="B5" s="37">
        <v>19.0</v>
      </c>
      <c r="C5" s="37">
        <v>8.0</v>
      </c>
      <c r="D5" s="38">
        <v>13.0</v>
      </c>
      <c r="E5" s="38" t="s">
        <v>62</v>
      </c>
      <c r="G5" s="37" t="s">
        <v>62</v>
      </c>
      <c r="H5" s="37" t="s">
        <v>62</v>
      </c>
      <c r="I5" s="37" t="s">
        <v>62</v>
      </c>
      <c r="J5" s="37" t="s">
        <v>62</v>
      </c>
      <c r="K5" s="40">
        <v>-1.0</v>
      </c>
      <c r="L5" s="41">
        <v>2.0</v>
      </c>
      <c r="M5" s="41">
        <v>3.0</v>
      </c>
      <c r="N5" s="41">
        <v>2.0</v>
      </c>
      <c r="O5" s="37">
        <v>-1.0</v>
      </c>
      <c r="P5" s="37">
        <v>1.0</v>
      </c>
      <c r="Q5" s="37" t="s">
        <v>62</v>
      </c>
      <c r="R5" s="37" t="s">
        <v>62</v>
      </c>
      <c r="S5" s="37" t="s">
        <v>62</v>
      </c>
      <c r="T5" s="37" t="s">
        <v>62</v>
      </c>
      <c r="U5" s="37">
        <v>5.0</v>
      </c>
      <c r="V5" s="37" t="s">
        <v>62</v>
      </c>
      <c r="W5" s="37" t="s">
        <v>62</v>
      </c>
      <c r="X5" s="37" t="s">
        <v>62</v>
      </c>
      <c r="Y5" s="37"/>
    </row>
    <row r="6">
      <c r="A6" s="37" t="s">
        <v>64</v>
      </c>
      <c r="B6" s="37">
        <v>31.0</v>
      </c>
      <c r="C6" s="37">
        <v>18.0</v>
      </c>
      <c r="D6" s="38">
        <v>13.0</v>
      </c>
      <c r="E6" s="39" t="s">
        <v>65</v>
      </c>
      <c r="G6" s="37">
        <v>-2.0</v>
      </c>
      <c r="H6" s="37">
        <v>1.0</v>
      </c>
      <c r="I6" s="37">
        <v>1.0</v>
      </c>
      <c r="J6" s="37">
        <v>1.0</v>
      </c>
      <c r="K6" s="40">
        <v>0.0</v>
      </c>
      <c r="L6" s="41">
        <v>1.0</v>
      </c>
      <c r="M6" s="41">
        <v>-1.0</v>
      </c>
      <c r="N6" s="41">
        <v>1.0</v>
      </c>
      <c r="O6" s="37">
        <v>2.0</v>
      </c>
      <c r="P6" s="37">
        <v>3.0</v>
      </c>
      <c r="Q6" s="37">
        <v>-1.0</v>
      </c>
      <c r="R6" s="37">
        <v>3.0</v>
      </c>
      <c r="S6" s="37">
        <v>2.0</v>
      </c>
      <c r="T6" s="37">
        <v>-1.0</v>
      </c>
      <c r="U6" s="37">
        <v>2.0</v>
      </c>
      <c r="V6" s="37">
        <v>1.0</v>
      </c>
      <c r="W6" s="37">
        <v>3.0</v>
      </c>
      <c r="X6" s="37">
        <v>-1.0</v>
      </c>
      <c r="Y6" s="37"/>
    </row>
    <row r="7">
      <c r="A7" s="37" t="s">
        <v>66</v>
      </c>
      <c r="B7" s="37">
        <v>40.0</v>
      </c>
      <c r="C7" s="37">
        <v>28.0</v>
      </c>
      <c r="D7" s="38">
        <v>12.0</v>
      </c>
      <c r="E7" s="42">
        <v>-2.0</v>
      </c>
      <c r="G7" s="37">
        <v>-1.0</v>
      </c>
      <c r="H7" s="37">
        <v>-2.0</v>
      </c>
      <c r="I7" s="37">
        <v>0.0</v>
      </c>
      <c r="J7" s="37">
        <v>1.0</v>
      </c>
      <c r="K7" s="40">
        <v>-2.0</v>
      </c>
      <c r="L7" s="41">
        <v>0.0</v>
      </c>
      <c r="M7" s="41">
        <v>0.0</v>
      </c>
      <c r="N7" s="41">
        <v>3.0</v>
      </c>
      <c r="O7" s="37">
        <v>0.0</v>
      </c>
      <c r="P7" s="37">
        <v>4.0</v>
      </c>
      <c r="Q7" s="37">
        <v>0.0</v>
      </c>
      <c r="R7" s="37">
        <v>4.0</v>
      </c>
      <c r="S7" s="37">
        <v>3.0</v>
      </c>
      <c r="T7" s="37">
        <v>1.0</v>
      </c>
      <c r="U7" s="37">
        <v>4.0</v>
      </c>
      <c r="V7" s="37">
        <v>-2.0</v>
      </c>
      <c r="W7" s="37">
        <v>-2.0</v>
      </c>
      <c r="X7" s="37">
        <v>0.0</v>
      </c>
      <c r="Y7" s="37"/>
    </row>
    <row r="8">
      <c r="A8" s="37" t="s">
        <v>67</v>
      </c>
      <c r="B8" s="37">
        <v>25.0</v>
      </c>
      <c r="C8" s="37">
        <v>17.0</v>
      </c>
      <c r="D8" s="38">
        <v>8.0</v>
      </c>
      <c r="E8" s="42">
        <v>-1.0</v>
      </c>
      <c r="G8" s="37" t="s">
        <v>62</v>
      </c>
      <c r="H8" s="37">
        <v>-1.0</v>
      </c>
      <c r="I8" s="37">
        <v>2.0</v>
      </c>
      <c r="J8" s="37">
        <v>-1.0</v>
      </c>
      <c r="K8" s="40">
        <v>-2.0</v>
      </c>
      <c r="L8" s="41">
        <v>1.0</v>
      </c>
      <c r="M8" s="41">
        <v>-2.0</v>
      </c>
      <c r="N8" s="41">
        <v>0.0</v>
      </c>
      <c r="O8" s="37">
        <v>1.0</v>
      </c>
      <c r="P8" s="37">
        <v>3.0</v>
      </c>
      <c r="Q8" s="37">
        <v>1.0</v>
      </c>
      <c r="R8" s="37">
        <v>-1.0</v>
      </c>
      <c r="S8" s="37">
        <v>4.0</v>
      </c>
      <c r="T8" s="37">
        <v>0.0</v>
      </c>
      <c r="U8" s="37">
        <v>4.0</v>
      </c>
      <c r="V8" s="37" t="s">
        <v>62</v>
      </c>
      <c r="W8" s="37">
        <v>-1.0</v>
      </c>
      <c r="X8" s="37">
        <v>0.0</v>
      </c>
      <c r="Y8" s="37"/>
    </row>
    <row r="9">
      <c r="A9" s="37" t="s">
        <v>68</v>
      </c>
      <c r="B9" s="37">
        <v>23.0</v>
      </c>
      <c r="C9" s="37">
        <v>15.0</v>
      </c>
      <c r="D9" s="38">
        <v>8.0</v>
      </c>
      <c r="E9" s="39" t="s">
        <v>61</v>
      </c>
      <c r="G9" s="37" t="s">
        <v>62</v>
      </c>
      <c r="H9" s="37">
        <v>-1.0</v>
      </c>
      <c r="I9" s="37">
        <v>0.0</v>
      </c>
      <c r="J9" s="37">
        <v>1.0</v>
      </c>
      <c r="K9" s="40" t="s">
        <v>62</v>
      </c>
      <c r="L9" s="41">
        <v>1.0</v>
      </c>
      <c r="M9" s="41">
        <v>1.0</v>
      </c>
      <c r="N9" s="41">
        <v>0.0</v>
      </c>
      <c r="O9" s="37">
        <v>1.0</v>
      </c>
      <c r="P9" s="37">
        <v>3.0</v>
      </c>
      <c r="Q9" s="37">
        <v>-1.0</v>
      </c>
      <c r="R9" s="37">
        <v>1.0</v>
      </c>
      <c r="S9" s="37" t="s">
        <v>62</v>
      </c>
      <c r="T9" s="37">
        <v>-1.0</v>
      </c>
      <c r="U9" s="37">
        <v>2.0</v>
      </c>
      <c r="V9" s="37">
        <v>0.0</v>
      </c>
      <c r="W9" s="37" t="s">
        <v>62</v>
      </c>
      <c r="X9" s="37">
        <v>1.0</v>
      </c>
      <c r="Y9" s="37"/>
    </row>
    <row r="10">
      <c r="A10" s="37" t="s">
        <v>69</v>
      </c>
      <c r="B10" s="37">
        <v>9.0</v>
      </c>
      <c r="C10" s="37">
        <v>5.0</v>
      </c>
      <c r="D10" s="38">
        <v>4.0</v>
      </c>
      <c r="E10" s="38">
        <v>0.0</v>
      </c>
      <c r="G10" s="37" t="s">
        <v>62</v>
      </c>
      <c r="H10" s="37" t="s">
        <v>62</v>
      </c>
      <c r="I10" s="37" t="s">
        <v>62</v>
      </c>
      <c r="J10" s="37" t="s">
        <v>62</v>
      </c>
      <c r="K10" s="40">
        <v>2.0</v>
      </c>
      <c r="L10" s="41">
        <v>-1.0</v>
      </c>
      <c r="M10" s="41">
        <v>0.0</v>
      </c>
      <c r="N10" s="41" t="s">
        <v>62</v>
      </c>
      <c r="O10" s="37">
        <v>0.0</v>
      </c>
      <c r="P10" s="37">
        <v>0.0</v>
      </c>
      <c r="Q10" s="37">
        <v>2.0</v>
      </c>
      <c r="R10" s="37">
        <v>2.0</v>
      </c>
      <c r="S10" s="37" t="s">
        <v>62</v>
      </c>
      <c r="T10" s="37">
        <v>0.0</v>
      </c>
      <c r="U10" s="37" t="s">
        <v>62</v>
      </c>
      <c r="V10" s="37">
        <v>-1.0</v>
      </c>
      <c r="W10" s="37" t="s">
        <v>62</v>
      </c>
      <c r="X10" s="37">
        <v>0.0</v>
      </c>
      <c r="Y10" s="37"/>
    </row>
    <row r="11">
      <c r="A11" s="37" t="s">
        <v>70</v>
      </c>
      <c r="B11" s="37">
        <v>8.0</v>
      </c>
      <c r="C11" s="37">
        <v>4.0</v>
      </c>
      <c r="D11" s="38">
        <v>4.0</v>
      </c>
      <c r="E11" s="38" t="s">
        <v>62</v>
      </c>
      <c r="G11" s="37">
        <v>-1.0</v>
      </c>
      <c r="H11" s="37">
        <v>-1.0</v>
      </c>
      <c r="I11" s="37">
        <v>1.0</v>
      </c>
      <c r="J11" s="37">
        <v>1.0</v>
      </c>
      <c r="K11" s="40" t="s">
        <v>62</v>
      </c>
      <c r="L11" s="41">
        <v>1.0</v>
      </c>
      <c r="M11" s="41">
        <v>3.0</v>
      </c>
      <c r="N11" s="41" t="s">
        <v>62</v>
      </c>
      <c r="O11" s="37" t="s">
        <v>62</v>
      </c>
      <c r="P11" s="37" t="s">
        <v>62</v>
      </c>
      <c r="Q11" s="37" t="s">
        <v>62</v>
      </c>
      <c r="R11" s="37" t="s">
        <v>62</v>
      </c>
      <c r="S11" s="37" t="s">
        <v>62</v>
      </c>
      <c r="T11" s="37" t="s">
        <v>62</v>
      </c>
      <c r="U11" s="37" t="s">
        <v>62</v>
      </c>
      <c r="V11" s="37" t="s">
        <v>62</v>
      </c>
      <c r="W11" s="37" t="s">
        <v>62</v>
      </c>
      <c r="X11" s="37" t="s">
        <v>62</v>
      </c>
      <c r="Y11" s="37"/>
    </row>
    <row r="12">
      <c r="A12" s="37" t="s">
        <v>44</v>
      </c>
      <c r="B12" s="37">
        <v>10.0</v>
      </c>
      <c r="C12" s="37">
        <v>7.0</v>
      </c>
      <c r="D12" s="38">
        <v>3.0</v>
      </c>
      <c r="E12" s="38">
        <v>0.0</v>
      </c>
      <c r="G12" s="37" t="s">
        <v>62</v>
      </c>
      <c r="H12" s="37" t="s">
        <v>62</v>
      </c>
      <c r="I12" s="37" t="s">
        <v>62</v>
      </c>
      <c r="J12" s="37" t="s">
        <v>62</v>
      </c>
      <c r="K12" s="37" t="s">
        <v>62</v>
      </c>
      <c r="L12" s="37" t="s">
        <v>62</v>
      </c>
      <c r="M12" s="37" t="s">
        <v>62</v>
      </c>
      <c r="N12" s="37" t="s">
        <v>62</v>
      </c>
      <c r="O12" s="37">
        <v>1.0</v>
      </c>
      <c r="P12" s="37">
        <v>1.0</v>
      </c>
      <c r="Q12" s="37" t="s">
        <v>62</v>
      </c>
      <c r="R12" s="37">
        <v>0.0</v>
      </c>
      <c r="S12" s="37">
        <v>1.0</v>
      </c>
      <c r="T12" s="37" t="s">
        <v>62</v>
      </c>
      <c r="U12" s="37" t="s">
        <v>62</v>
      </c>
      <c r="V12" s="37">
        <v>0.0</v>
      </c>
      <c r="W12" s="37">
        <v>0.0</v>
      </c>
      <c r="X12" s="37" t="s">
        <v>62</v>
      </c>
      <c r="Y12" s="37"/>
    </row>
    <row r="13">
      <c r="A13" s="37" t="s">
        <v>41</v>
      </c>
      <c r="B13" s="37">
        <v>6.0</v>
      </c>
      <c r="C13" s="37">
        <v>4.0</v>
      </c>
      <c r="D13" s="38">
        <v>2.0</v>
      </c>
      <c r="E13" s="38" t="s">
        <v>62</v>
      </c>
      <c r="G13" s="37" t="s">
        <v>62</v>
      </c>
      <c r="H13" s="37" t="s">
        <v>62</v>
      </c>
      <c r="I13" s="37" t="s">
        <v>62</v>
      </c>
      <c r="J13" s="37" t="s">
        <v>62</v>
      </c>
      <c r="K13" s="40" t="s">
        <v>62</v>
      </c>
      <c r="L13" s="41">
        <v>1.0</v>
      </c>
      <c r="M13" s="41" t="s">
        <v>62</v>
      </c>
      <c r="N13" s="41" t="s">
        <v>62</v>
      </c>
      <c r="O13" s="37" t="s">
        <v>62</v>
      </c>
      <c r="P13" s="37">
        <v>2.0</v>
      </c>
      <c r="Q13" s="37" t="s">
        <v>62</v>
      </c>
      <c r="R13" s="37">
        <v>-1.0</v>
      </c>
      <c r="S13" s="37" t="s">
        <v>62</v>
      </c>
      <c r="T13" s="37">
        <v>0.0</v>
      </c>
      <c r="U13" s="37" t="s">
        <v>62</v>
      </c>
      <c r="V13" s="37" t="s">
        <v>62</v>
      </c>
      <c r="W13" s="37" t="s">
        <v>62</v>
      </c>
      <c r="X13" s="37" t="s">
        <v>62</v>
      </c>
      <c r="Y13" s="37"/>
      <c r="AB13" s="43"/>
    </row>
    <row r="14">
      <c r="A14" s="37" t="s">
        <v>71</v>
      </c>
      <c r="B14" s="37">
        <v>16.0</v>
      </c>
      <c r="C14" s="37">
        <v>14.0</v>
      </c>
      <c r="D14" s="38">
        <v>2.0</v>
      </c>
      <c r="E14" s="39" t="s">
        <v>72</v>
      </c>
      <c r="G14" s="37">
        <v>-2.0</v>
      </c>
      <c r="H14" s="37" t="s">
        <v>62</v>
      </c>
      <c r="I14" s="37" t="s">
        <v>62</v>
      </c>
      <c r="J14" s="37" t="s">
        <v>62</v>
      </c>
      <c r="K14" s="40">
        <v>-2.0</v>
      </c>
      <c r="L14" s="41">
        <v>2.0</v>
      </c>
      <c r="M14" s="41">
        <v>0.0</v>
      </c>
      <c r="N14" s="41">
        <v>0.0</v>
      </c>
      <c r="O14" s="37">
        <v>1.0</v>
      </c>
      <c r="P14" s="37">
        <v>1.0</v>
      </c>
      <c r="Q14" s="37">
        <v>1.0</v>
      </c>
      <c r="R14" s="37">
        <v>0.0</v>
      </c>
      <c r="S14" s="37">
        <v>0.0</v>
      </c>
      <c r="T14" s="37">
        <v>-1.0</v>
      </c>
      <c r="U14" s="37">
        <v>3.0</v>
      </c>
      <c r="V14" s="37">
        <v>-3.0</v>
      </c>
      <c r="W14" s="37">
        <v>1.0</v>
      </c>
      <c r="X14" s="37">
        <v>3.0</v>
      </c>
      <c r="Y14" s="37"/>
    </row>
    <row r="15">
      <c r="A15" s="37" t="s">
        <v>73</v>
      </c>
      <c r="B15" s="37">
        <v>6.0</v>
      </c>
      <c r="C15" s="37">
        <v>6.0</v>
      </c>
      <c r="D15" s="38">
        <v>0.0</v>
      </c>
      <c r="E15" s="38" t="s">
        <v>62</v>
      </c>
      <c r="G15" s="37">
        <v>-1.0</v>
      </c>
      <c r="H15" s="37">
        <v>0.0</v>
      </c>
      <c r="I15" s="37">
        <v>2.0</v>
      </c>
      <c r="J15" s="37">
        <v>-1.0</v>
      </c>
      <c r="K15" s="40" t="s">
        <v>62</v>
      </c>
      <c r="L15" s="41" t="s">
        <v>62</v>
      </c>
      <c r="M15" s="41" t="s">
        <v>62</v>
      </c>
      <c r="N15" s="41" t="s">
        <v>62</v>
      </c>
      <c r="O15" s="37" t="s">
        <v>62</v>
      </c>
      <c r="P15" s="37" t="s">
        <v>62</v>
      </c>
      <c r="Q15" s="37" t="s">
        <v>62</v>
      </c>
      <c r="R15" s="37" t="s">
        <v>62</v>
      </c>
      <c r="S15" s="37" t="s">
        <v>62</v>
      </c>
      <c r="T15" s="37" t="s">
        <v>62</v>
      </c>
      <c r="U15" s="37" t="s">
        <v>62</v>
      </c>
      <c r="V15" s="37" t="s">
        <v>62</v>
      </c>
      <c r="W15" s="37" t="s">
        <v>62</v>
      </c>
      <c r="X15" s="37" t="s">
        <v>62</v>
      </c>
      <c r="Y15" s="37"/>
      <c r="Z15" s="43"/>
    </row>
    <row r="16">
      <c r="A16" s="37" t="s">
        <v>74</v>
      </c>
      <c r="B16" s="37">
        <v>6.0</v>
      </c>
      <c r="C16" s="37">
        <v>6.0</v>
      </c>
      <c r="D16" s="38">
        <v>0.0</v>
      </c>
      <c r="E16" s="38">
        <v>0.0</v>
      </c>
      <c r="G16" s="37">
        <v>-2.0</v>
      </c>
      <c r="H16" s="37" t="s">
        <v>62</v>
      </c>
      <c r="I16" s="37" t="s">
        <v>62</v>
      </c>
      <c r="J16" s="37" t="s">
        <v>62</v>
      </c>
      <c r="K16" s="40" t="s">
        <v>62</v>
      </c>
      <c r="L16" s="41" t="s">
        <v>62</v>
      </c>
      <c r="M16" s="41" t="s">
        <v>62</v>
      </c>
      <c r="N16" s="41">
        <v>-2.0</v>
      </c>
      <c r="O16" s="37">
        <v>1.0</v>
      </c>
      <c r="P16" s="37">
        <v>1.0</v>
      </c>
      <c r="Q16" s="37">
        <v>1.0</v>
      </c>
      <c r="R16" s="37" t="s">
        <v>62</v>
      </c>
      <c r="S16" s="37">
        <v>1.0</v>
      </c>
      <c r="T16" s="37" t="s">
        <v>62</v>
      </c>
      <c r="U16" s="37" t="s">
        <v>62</v>
      </c>
      <c r="V16" s="37" t="s">
        <v>62</v>
      </c>
      <c r="W16" s="37">
        <v>0.0</v>
      </c>
      <c r="X16" s="37" t="s">
        <v>62</v>
      </c>
      <c r="Y16" s="37"/>
    </row>
    <row r="17">
      <c r="A17" s="37" t="s">
        <v>43</v>
      </c>
      <c r="B17" s="37">
        <v>1.0</v>
      </c>
      <c r="C17" s="37">
        <v>-2.0</v>
      </c>
      <c r="D17" s="38">
        <v>-1.0</v>
      </c>
      <c r="E17" s="42">
        <v>-1.0</v>
      </c>
      <c r="G17" s="37" t="s">
        <v>62</v>
      </c>
      <c r="H17" s="37" t="s">
        <v>62</v>
      </c>
      <c r="I17" s="37" t="s">
        <v>62</v>
      </c>
      <c r="J17" s="37" t="s">
        <v>62</v>
      </c>
      <c r="K17" s="40" t="s">
        <v>62</v>
      </c>
      <c r="L17" s="41">
        <v>1.0</v>
      </c>
      <c r="M17" s="41" t="s">
        <v>62</v>
      </c>
      <c r="N17" s="41" t="s">
        <v>62</v>
      </c>
      <c r="O17" s="37" t="s">
        <v>62</v>
      </c>
      <c r="P17" s="37" t="s">
        <v>62</v>
      </c>
      <c r="Q17" s="37" t="s">
        <v>62</v>
      </c>
      <c r="R17" s="37" t="s">
        <v>62</v>
      </c>
      <c r="S17" s="37" t="s">
        <v>62</v>
      </c>
      <c r="T17" s="37" t="s">
        <v>62</v>
      </c>
      <c r="U17" s="37" t="s">
        <v>62</v>
      </c>
      <c r="V17" s="37" t="s">
        <v>62</v>
      </c>
      <c r="W17" s="37" t="s">
        <v>62</v>
      </c>
      <c r="X17" s="37">
        <v>-1.0</v>
      </c>
      <c r="Y17" s="37"/>
      <c r="AB17" s="43"/>
    </row>
    <row r="18">
      <c r="A18" s="37" t="s">
        <v>75</v>
      </c>
      <c r="B18" s="37">
        <v>7.0</v>
      </c>
      <c r="C18" s="37">
        <v>8.0</v>
      </c>
      <c r="D18" s="38">
        <v>-1.0</v>
      </c>
      <c r="E18" s="38" t="s">
        <v>62</v>
      </c>
      <c r="G18" s="37">
        <v>-1.0</v>
      </c>
      <c r="H18" s="37">
        <v>1.0</v>
      </c>
      <c r="I18" s="37">
        <v>0.0</v>
      </c>
      <c r="J18" s="37">
        <v>-1.0</v>
      </c>
      <c r="K18" s="40">
        <v>1.0</v>
      </c>
      <c r="L18" s="41" t="s">
        <v>62</v>
      </c>
      <c r="M18" s="41" t="s">
        <v>62</v>
      </c>
      <c r="N18" s="41" t="s">
        <v>62</v>
      </c>
      <c r="O18" s="37" t="s">
        <v>62</v>
      </c>
      <c r="P18" s="37">
        <v>0.0</v>
      </c>
      <c r="Q18" s="37" t="s">
        <v>62</v>
      </c>
      <c r="R18" s="37" t="s">
        <v>62</v>
      </c>
      <c r="S18" s="37">
        <v>-1.0</v>
      </c>
      <c r="T18" s="37">
        <v>0.0</v>
      </c>
      <c r="U18" s="37" t="s">
        <v>62</v>
      </c>
      <c r="V18" s="37">
        <v>0.0</v>
      </c>
      <c r="W18" s="37" t="s">
        <v>62</v>
      </c>
      <c r="X18" s="37" t="s">
        <v>62</v>
      </c>
      <c r="Y18" s="37"/>
    </row>
    <row r="19">
      <c r="A19" s="37" t="s">
        <v>76</v>
      </c>
      <c r="B19" s="37">
        <v>31.0</v>
      </c>
      <c r="C19" s="37">
        <v>32.0</v>
      </c>
      <c r="D19" s="38">
        <v>-1.0</v>
      </c>
      <c r="E19" s="39" t="s">
        <v>65</v>
      </c>
      <c r="G19" s="37">
        <v>-9.0</v>
      </c>
      <c r="H19" s="37">
        <v>1.0</v>
      </c>
      <c r="I19" s="37">
        <v>2.0</v>
      </c>
      <c r="J19" s="37">
        <v>-2.0</v>
      </c>
      <c r="K19" s="40" t="s">
        <v>62</v>
      </c>
      <c r="L19" s="41">
        <v>1.0</v>
      </c>
      <c r="M19" s="41">
        <v>0.0</v>
      </c>
      <c r="N19" s="41">
        <v>-1.0</v>
      </c>
      <c r="O19" s="37">
        <v>2.0</v>
      </c>
      <c r="P19" s="37">
        <v>1.0</v>
      </c>
      <c r="Q19" s="37">
        <v>2.0</v>
      </c>
      <c r="R19" s="37">
        <v>-2.0</v>
      </c>
      <c r="S19" s="37">
        <v>0.0</v>
      </c>
      <c r="T19" s="37">
        <v>-1.0</v>
      </c>
      <c r="U19" s="37">
        <v>4.0</v>
      </c>
      <c r="V19" s="37">
        <v>0.0</v>
      </c>
      <c r="W19" s="37">
        <v>2.0</v>
      </c>
      <c r="X19" s="37">
        <v>0.0</v>
      </c>
      <c r="Y19" s="37"/>
    </row>
    <row r="20">
      <c r="A20" s="37" t="s">
        <v>77</v>
      </c>
      <c r="B20" s="37">
        <v>20.0</v>
      </c>
      <c r="C20" s="37">
        <v>22.0</v>
      </c>
      <c r="D20" s="38">
        <v>-2.0</v>
      </c>
      <c r="E20" s="42">
        <v>-1.0</v>
      </c>
      <c r="G20" s="37">
        <v>-6.0</v>
      </c>
      <c r="H20" s="37">
        <v>1.0</v>
      </c>
      <c r="I20" s="37">
        <v>2.0</v>
      </c>
      <c r="J20" s="37">
        <v>-2.0</v>
      </c>
      <c r="K20" s="40">
        <v>0.0</v>
      </c>
      <c r="L20" s="41" t="s">
        <v>62</v>
      </c>
      <c r="M20" s="41" t="s">
        <v>62</v>
      </c>
      <c r="N20" s="41">
        <v>0.0</v>
      </c>
      <c r="O20" s="37">
        <v>1.0</v>
      </c>
      <c r="P20" s="37" t="s">
        <v>62</v>
      </c>
      <c r="Q20" s="37" t="s">
        <v>62</v>
      </c>
      <c r="R20" s="37">
        <v>1.0</v>
      </c>
      <c r="S20" s="37">
        <v>0.0</v>
      </c>
      <c r="T20" s="37" t="s">
        <v>62</v>
      </c>
      <c r="U20" s="37" t="s">
        <v>62</v>
      </c>
      <c r="V20" s="37" t="s">
        <v>62</v>
      </c>
      <c r="W20" s="37">
        <v>-1.0</v>
      </c>
      <c r="X20" s="37" t="s">
        <v>62</v>
      </c>
      <c r="Y20" s="37"/>
    </row>
    <row r="21">
      <c r="A21" s="37" t="s">
        <v>78</v>
      </c>
      <c r="B21" s="37">
        <v>4.0</v>
      </c>
      <c r="C21" s="37">
        <v>6.0</v>
      </c>
      <c r="D21" s="38">
        <v>-2.0</v>
      </c>
      <c r="E21" s="38" t="s">
        <v>62</v>
      </c>
      <c r="G21" s="37">
        <v>-1.0</v>
      </c>
      <c r="H21" s="37" t="s">
        <v>62</v>
      </c>
      <c r="I21" s="37" t="s">
        <v>62</v>
      </c>
      <c r="J21" s="37" t="s">
        <v>62</v>
      </c>
      <c r="K21" s="40">
        <v>0.0</v>
      </c>
      <c r="L21" s="41" t="s">
        <v>62</v>
      </c>
      <c r="M21" s="41" t="s">
        <v>62</v>
      </c>
      <c r="N21" s="41" t="s">
        <v>62</v>
      </c>
      <c r="O21" s="37" t="s">
        <v>62</v>
      </c>
      <c r="P21" s="37" t="s">
        <v>62</v>
      </c>
      <c r="Q21" s="37">
        <v>0.0</v>
      </c>
      <c r="R21" s="37" t="s">
        <v>62</v>
      </c>
      <c r="S21" s="37" t="s">
        <v>62</v>
      </c>
      <c r="T21" s="37" t="s">
        <v>62</v>
      </c>
      <c r="U21" s="37" t="s">
        <v>62</v>
      </c>
      <c r="V21" s="37">
        <v>-1.0</v>
      </c>
      <c r="W21" s="37" t="s">
        <v>62</v>
      </c>
      <c r="X21" s="37" t="s">
        <v>62</v>
      </c>
      <c r="Y21" s="37"/>
    </row>
    <row r="22">
      <c r="A22" s="37" t="s">
        <v>79</v>
      </c>
      <c r="B22" s="37">
        <v>7.0</v>
      </c>
      <c r="C22" s="37">
        <v>9.0</v>
      </c>
      <c r="D22" s="38">
        <v>-2.0</v>
      </c>
      <c r="E22" s="38" t="s">
        <v>62</v>
      </c>
      <c r="G22" s="37">
        <v>-3.0</v>
      </c>
      <c r="H22" s="37">
        <v>-1.0</v>
      </c>
      <c r="I22" s="37">
        <v>1.0</v>
      </c>
      <c r="J22" s="37">
        <v>1.0</v>
      </c>
      <c r="K22" s="40">
        <v>-2.0</v>
      </c>
      <c r="L22" s="41" t="s">
        <v>62</v>
      </c>
      <c r="M22" s="41" t="s">
        <v>62</v>
      </c>
      <c r="N22" s="41" t="s">
        <v>62</v>
      </c>
      <c r="O22" s="37" t="s">
        <v>62</v>
      </c>
      <c r="P22" s="37" t="s">
        <v>62</v>
      </c>
      <c r="Q22" s="37">
        <v>0.0</v>
      </c>
      <c r="R22" s="37" t="s">
        <v>62</v>
      </c>
      <c r="S22" s="37" t="s">
        <v>62</v>
      </c>
      <c r="T22" s="37" t="s">
        <v>62</v>
      </c>
      <c r="U22" s="37">
        <v>2.0</v>
      </c>
      <c r="V22" s="37" t="s">
        <v>62</v>
      </c>
      <c r="W22" s="37" t="s">
        <v>62</v>
      </c>
      <c r="X22" s="37" t="s">
        <v>62</v>
      </c>
      <c r="Y22" s="37"/>
    </row>
    <row r="23">
      <c r="A23" s="37" t="s">
        <v>42</v>
      </c>
      <c r="B23" s="37">
        <v>8.0</v>
      </c>
      <c r="C23" s="37">
        <v>11.0</v>
      </c>
      <c r="D23" s="38">
        <v>-3.0</v>
      </c>
      <c r="E23" s="42">
        <v>-3.0</v>
      </c>
      <c r="G23" s="37" t="s">
        <v>62</v>
      </c>
      <c r="H23" s="37" t="s">
        <v>62</v>
      </c>
      <c r="I23" s="37" t="s">
        <v>62</v>
      </c>
      <c r="J23" s="37" t="s">
        <v>62</v>
      </c>
      <c r="K23" s="40" t="s">
        <v>62</v>
      </c>
      <c r="L23" s="41" t="s">
        <v>62</v>
      </c>
      <c r="M23" s="41" t="s">
        <v>62</v>
      </c>
      <c r="N23" s="41" t="s">
        <v>62</v>
      </c>
      <c r="O23" s="37" t="s">
        <v>62</v>
      </c>
      <c r="P23" s="37" t="s">
        <v>62</v>
      </c>
      <c r="Q23" s="37" t="s">
        <v>62</v>
      </c>
      <c r="R23" s="37">
        <v>1.0</v>
      </c>
      <c r="S23" s="37">
        <v>0.0</v>
      </c>
      <c r="T23" s="37">
        <v>1.0</v>
      </c>
      <c r="U23" s="37" t="s">
        <v>62</v>
      </c>
      <c r="V23" s="37">
        <v>-2.0</v>
      </c>
      <c r="W23" s="37">
        <v>-1.0</v>
      </c>
      <c r="X23" s="37">
        <v>-2.0</v>
      </c>
      <c r="Y23" s="37"/>
      <c r="Z23" s="43"/>
      <c r="AB23" s="43"/>
    </row>
    <row r="24">
      <c r="A24" s="37" t="s">
        <v>80</v>
      </c>
      <c r="B24" s="37">
        <v>3.0</v>
      </c>
      <c r="C24" s="37">
        <v>7.0</v>
      </c>
      <c r="D24" s="38">
        <v>-4.0</v>
      </c>
      <c r="E24" s="42">
        <v>-2.0</v>
      </c>
      <c r="G24" s="37">
        <v>-1.0</v>
      </c>
      <c r="H24" s="37" t="s">
        <v>62</v>
      </c>
      <c r="I24" s="37" t="s">
        <v>62</v>
      </c>
      <c r="J24" s="37" t="s">
        <v>62</v>
      </c>
      <c r="K24" s="40" t="s">
        <v>62</v>
      </c>
      <c r="L24" s="41" t="s">
        <v>62</v>
      </c>
      <c r="M24" s="41" t="s">
        <v>62</v>
      </c>
      <c r="N24" s="41">
        <v>-2.0</v>
      </c>
      <c r="O24" s="37" t="s">
        <v>62</v>
      </c>
      <c r="P24" s="37" t="s">
        <v>62</v>
      </c>
      <c r="Q24" s="37" t="s">
        <v>62</v>
      </c>
      <c r="R24" s="37" t="s">
        <v>62</v>
      </c>
      <c r="S24" s="37">
        <v>1.0</v>
      </c>
      <c r="T24" s="37" t="s">
        <v>62</v>
      </c>
      <c r="U24" s="37" t="s">
        <v>62</v>
      </c>
      <c r="V24" s="37">
        <v>0.0</v>
      </c>
      <c r="W24" s="37">
        <v>-2.0</v>
      </c>
      <c r="X24" s="37" t="s">
        <v>62</v>
      </c>
      <c r="Y24" s="37"/>
    </row>
    <row r="25">
      <c r="A25" s="37" t="s">
        <v>81</v>
      </c>
      <c r="B25" s="37">
        <v>2.0</v>
      </c>
      <c r="C25" s="37">
        <v>6.0</v>
      </c>
      <c r="D25" s="38">
        <v>-4.0</v>
      </c>
      <c r="E25" s="38" t="s">
        <v>62</v>
      </c>
      <c r="G25" s="37">
        <v>-3.0</v>
      </c>
      <c r="H25" s="37" t="s">
        <v>62</v>
      </c>
      <c r="I25" s="37" t="s">
        <v>62</v>
      </c>
      <c r="J25" s="37" t="s">
        <v>62</v>
      </c>
      <c r="K25" s="40" t="s">
        <v>62</v>
      </c>
      <c r="L25" s="41" t="s">
        <v>62</v>
      </c>
      <c r="M25" s="41">
        <v>-1.0</v>
      </c>
      <c r="N25" s="41" t="s">
        <v>62</v>
      </c>
      <c r="O25" s="37" t="s">
        <v>62</v>
      </c>
      <c r="P25" s="37" t="s">
        <v>62</v>
      </c>
      <c r="Q25" s="37">
        <v>0.0</v>
      </c>
      <c r="R25" s="37" t="s">
        <v>62</v>
      </c>
      <c r="S25" s="37" t="s">
        <v>62</v>
      </c>
      <c r="T25" s="37" t="s">
        <v>62</v>
      </c>
      <c r="U25" s="37">
        <v>0.0</v>
      </c>
      <c r="V25" s="37" t="s">
        <v>62</v>
      </c>
      <c r="W25" s="37" t="s">
        <v>62</v>
      </c>
      <c r="X25" s="37" t="s">
        <v>62</v>
      </c>
      <c r="Y25" s="37"/>
    </row>
    <row r="26">
      <c r="A26" s="37" t="s">
        <v>82</v>
      </c>
      <c r="B26" s="37">
        <v>9.0</v>
      </c>
      <c r="C26" s="37">
        <v>14.0</v>
      </c>
      <c r="D26" s="38">
        <v>-5.0</v>
      </c>
      <c r="E26" s="39" t="s">
        <v>65</v>
      </c>
      <c r="G26" s="37">
        <v>-5.0</v>
      </c>
      <c r="H26" s="37">
        <v>-2.0</v>
      </c>
      <c r="I26" s="37">
        <v>0.0</v>
      </c>
      <c r="J26" s="37">
        <v>-1.0</v>
      </c>
      <c r="K26" s="40" t="s">
        <v>62</v>
      </c>
      <c r="L26" s="41" t="s">
        <v>62</v>
      </c>
      <c r="M26" s="41" t="s">
        <v>62</v>
      </c>
      <c r="N26" s="41">
        <v>-1.0</v>
      </c>
      <c r="O26" s="37" t="s">
        <v>62</v>
      </c>
      <c r="P26" s="37" t="s">
        <v>62</v>
      </c>
      <c r="Q26" s="37" t="s">
        <v>62</v>
      </c>
      <c r="R26" s="37" t="s">
        <v>62</v>
      </c>
      <c r="S26" s="37" t="s">
        <v>62</v>
      </c>
      <c r="T26" s="37" t="s">
        <v>62</v>
      </c>
      <c r="U26" s="37">
        <v>2.0</v>
      </c>
      <c r="V26" s="37" t="s">
        <v>62</v>
      </c>
      <c r="W26" s="37">
        <v>2.0</v>
      </c>
      <c r="X26" s="37">
        <v>0.0</v>
      </c>
      <c r="Y26" s="37"/>
    </row>
    <row r="27">
      <c r="A27" s="37" t="s">
        <v>83</v>
      </c>
      <c r="B27" s="37">
        <v>6.0</v>
      </c>
      <c r="C27" s="37">
        <v>12.0</v>
      </c>
      <c r="D27" s="38">
        <v>-6.0</v>
      </c>
      <c r="E27" s="38">
        <v>0.0</v>
      </c>
      <c r="G27" s="37">
        <v>-3.0</v>
      </c>
      <c r="H27" s="37" t="s">
        <v>62</v>
      </c>
      <c r="I27" s="37" t="s">
        <v>62</v>
      </c>
      <c r="J27" s="37" t="s">
        <v>62</v>
      </c>
      <c r="K27" s="40">
        <v>-2.0</v>
      </c>
      <c r="L27" s="41">
        <v>-1.0</v>
      </c>
      <c r="M27" s="41">
        <v>-2.0</v>
      </c>
      <c r="N27" s="41" t="s">
        <v>62</v>
      </c>
      <c r="O27" s="37" t="s">
        <v>62</v>
      </c>
      <c r="P27" s="37" t="s">
        <v>62</v>
      </c>
      <c r="Q27" s="37">
        <v>1.0</v>
      </c>
      <c r="R27" s="37" t="s">
        <v>62</v>
      </c>
      <c r="S27" s="37" t="s">
        <v>62</v>
      </c>
      <c r="T27" s="37">
        <v>0.0</v>
      </c>
      <c r="U27" s="37">
        <v>1.0</v>
      </c>
      <c r="V27" s="37" t="s">
        <v>62</v>
      </c>
      <c r="W27" s="37" t="s">
        <v>62</v>
      </c>
      <c r="X27" s="37">
        <v>0.0</v>
      </c>
      <c r="Y27" s="37"/>
    </row>
    <row r="28">
      <c r="A28" s="37" t="s">
        <v>84</v>
      </c>
      <c r="B28" s="37">
        <v>20.0</v>
      </c>
      <c r="C28" s="37">
        <v>31.0</v>
      </c>
      <c r="D28" s="38">
        <v>-11.0</v>
      </c>
      <c r="E28" s="38">
        <v>0.0</v>
      </c>
      <c r="G28" s="37">
        <v>-8.0</v>
      </c>
      <c r="H28" s="37">
        <v>2.0</v>
      </c>
      <c r="I28" s="37">
        <v>-1.0</v>
      </c>
      <c r="J28" s="37">
        <v>-1.0</v>
      </c>
      <c r="K28" s="40">
        <v>0.0</v>
      </c>
      <c r="L28" s="41">
        <v>-2.0</v>
      </c>
      <c r="M28" s="41">
        <v>-1.0</v>
      </c>
      <c r="N28" s="41">
        <v>-1.0</v>
      </c>
      <c r="O28" s="37">
        <v>1.0</v>
      </c>
      <c r="P28" s="37">
        <v>2.0</v>
      </c>
      <c r="Q28" s="37">
        <v>2.0</v>
      </c>
      <c r="R28" s="37">
        <v>1.0</v>
      </c>
      <c r="S28" s="37">
        <v>-2.0</v>
      </c>
      <c r="T28" s="37">
        <v>-1.0</v>
      </c>
      <c r="U28" s="37">
        <v>1.0</v>
      </c>
      <c r="V28" s="37">
        <v>-3.0</v>
      </c>
      <c r="W28" s="37">
        <v>-1.0</v>
      </c>
      <c r="X28" s="37">
        <v>1.0</v>
      </c>
      <c r="Y28" s="37"/>
    </row>
    <row r="29">
      <c r="G29" s="18"/>
      <c r="H29" s="18"/>
    </row>
    <row r="30">
      <c r="G30" s="18"/>
      <c r="H30" s="18"/>
    </row>
    <row r="31">
      <c r="G31" s="18"/>
      <c r="H31" s="18"/>
    </row>
    <row r="32">
      <c r="G32" s="18"/>
      <c r="H32" s="18"/>
    </row>
    <row r="33">
      <c r="G33" s="18"/>
      <c r="H33" s="18"/>
    </row>
    <row r="34">
      <c r="G34" s="18"/>
      <c r="H34" s="18"/>
    </row>
    <row r="35">
      <c r="G35" s="18"/>
      <c r="H35" s="18"/>
    </row>
    <row r="36">
      <c r="G36" s="18"/>
      <c r="H36" s="18"/>
    </row>
    <row r="37">
      <c r="G37" s="18"/>
      <c r="H37" s="18"/>
    </row>
    <row r="38">
      <c r="G38" s="18"/>
      <c r="H38" s="18"/>
    </row>
    <row r="39">
      <c r="G39" s="18"/>
      <c r="H39" s="18"/>
    </row>
    <row r="40">
      <c r="G40" s="18"/>
      <c r="H40" s="18"/>
    </row>
    <row r="41">
      <c r="G41" s="18"/>
      <c r="H41" s="18"/>
    </row>
    <row r="42">
      <c r="G42" s="18"/>
      <c r="H42" s="18"/>
    </row>
    <row r="43">
      <c r="G43" s="18"/>
      <c r="H43" s="18"/>
    </row>
    <row r="44">
      <c r="G44" s="18"/>
      <c r="H44" s="18"/>
    </row>
    <row r="45">
      <c r="G45" s="18"/>
      <c r="H45" s="18"/>
    </row>
    <row r="46">
      <c r="G46" s="18"/>
      <c r="H46" s="18"/>
    </row>
    <row r="47">
      <c r="G47" s="18"/>
      <c r="H47" s="18"/>
    </row>
    <row r="48">
      <c r="G48" s="18"/>
      <c r="H48" s="18"/>
    </row>
    <row r="49">
      <c r="G49" s="18"/>
      <c r="H49" s="18"/>
    </row>
    <row r="50">
      <c r="G50" s="18"/>
      <c r="H50" s="18"/>
    </row>
    <row r="51">
      <c r="G51" s="18"/>
      <c r="H51" s="18"/>
    </row>
    <row r="52">
      <c r="G52" s="18"/>
      <c r="H52" s="18"/>
    </row>
    <row r="53">
      <c r="G53" s="18"/>
      <c r="H53" s="18"/>
    </row>
    <row r="54">
      <c r="G54" s="18"/>
      <c r="H54" s="18"/>
    </row>
    <row r="55">
      <c r="G55" s="18"/>
      <c r="H55" s="18"/>
    </row>
    <row r="56">
      <c r="G56" s="18"/>
      <c r="H56" s="18"/>
    </row>
    <row r="57">
      <c r="G57" s="18"/>
      <c r="H57" s="18"/>
    </row>
    <row r="58">
      <c r="G58" s="18"/>
      <c r="H58" s="18"/>
    </row>
    <row r="59">
      <c r="G59" s="18"/>
      <c r="H59" s="18"/>
    </row>
    <row r="60">
      <c r="G60" s="18"/>
      <c r="H60" s="18"/>
    </row>
    <row r="61">
      <c r="G61" s="18"/>
      <c r="H61" s="18"/>
    </row>
    <row r="62">
      <c r="G62" s="18"/>
      <c r="H62" s="18"/>
    </row>
    <row r="63">
      <c r="G63" s="18"/>
      <c r="H63" s="18"/>
    </row>
    <row r="64">
      <c r="G64" s="18"/>
      <c r="H64" s="18"/>
    </row>
    <row r="65">
      <c r="G65" s="18"/>
      <c r="H65" s="18"/>
    </row>
    <row r="66">
      <c r="G66" s="18"/>
      <c r="H66" s="18"/>
    </row>
    <row r="67">
      <c r="G67" s="18"/>
      <c r="H67" s="18"/>
    </row>
    <row r="68">
      <c r="G68" s="18"/>
      <c r="H68" s="18"/>
    </row>
    <row r="69">
      <c r="G69" s="18"/>
      <c r="H69" s="18"/>
    </row>
    <row r="70">
      <c r="G70" s="18"/>
      <c r="H70" s="18"/>
    </row>
    <row r="71">
      <c r="G71" s="18"/>
      <c r="H71" s="18"/>
    </row>
    <row r="72">
      <c r="G72" s="18"/>
      <c r="H72" s="18"/>
    </row>
    <row r="73">
      <c r="G73" s="18"/>
      <c r="H73" s="18"/>
    </row>
    <row r="74">
      <c r="G74" s="18"/>
      <c r="H74" s="18"/>
    </row>
    <row r="75">
      <c r="G75" s="18"/>
      <c r="H75" s="18"/>
    </row>
    <row r="76">
      <c r="G76" s="18"/>
      <c r="H76" s="18"/>
    </row>
    <row r="77">
      <c r="G77" s="18"/>
      <c r="H77" s="18"/>
    </row>
    <row r="78">
      <c r="G78" s="18"/>
      <c r="H78" s="18"/>
    </row>
    <row r="79">
      <c r="G79" s="18"/>
      <c r="H79" s="18"/>
    </row>
    <row r="80">
      <c r="G80" s="18"/>
      <c r="H80" s="18"/>
    </row>
    <row r="81">
      <c r="G81" s="18"/>
      <c r="H81" s="18"/>
    </row>
    <row r="82">
      <c r="G82" s="18"/>
      <c r="H82" s="18"/>
    </row>
    <row r="83">
      <c r="G83" s="18"/>
      <c r="H83" s="18"/>
    </row>
    <row r="84">
      <c r="G84" s="18"/>
      <c r="H84" s="18"/>
    </row>
    <row r="85">
      <c r="G85" s="18"/>
      <c r="H85" s="18"/>
    </row>
    <row r="86">
      <c r="G86" s="18"/>
      <c r="H86" s="18"/>
    </row>
    <row r="87">
      <c r="G87" s="18"/>
      <c r="H87" s="18"/>
    </row>
    <row r="88">
      <c r="G88" s="18"/>
      <c r="H88" s="18"/>
    </row>
    <row r="89">
      <c r="G89" s="18"/>
      <c r="H89" s="18"/>
    </row>
    <row r="90">
      <c r="G90" s="18"/>
      <c r="H90" s="18"/>
    </row>
    <row r="91">
      <c r="G91" s="18"/>
      <c r="H91" s="18"/>
    </row>
    <row r="92">
      <c r="G92" s="18"/>
      <c r="H92" s="18"/>
    </row>
    <row r="93">
      <c r="G93" s="18"/>
      <c r="H93" s="18"/>
    </row>
    <row r="94">
      <c r="G94" s="18"/>
      <c r="H94" s="18"/>
    </row>
    <row r="95">
      <c r="G95" s="18"/>
      <c r="H95" s="18"/>
    </row>
    <row r="96">
      <c r="G96" s="18"/>
      <c r="H96" s="18"/>
    </row>
    <row r="97">
      <c r="G97" s="18"/>
      <c r="H97" s="18"/>
    </row>
    <row r="98">
      <c r="G98" s="18"/>
      <c r="H98" s="18"/>
    </row>
    <row r="99">
      <c r="G99" s="18"/>
      <c r="H99" s="18"/>
    </row>
    <row r="100">
      <c r="G100" s="18"/>
      <c r="H100" s="18"/>
    </row>
    <row r="101">
      <c r="G101" s="18"/>
      <c r="H101" s="18"/>
    </row>
    <row r="102">
      <c r="G102" s="18"/>
      <c r="H102" s="18"/>
    </row>
    <row r="103">
      <c r="G103" s="18"/>
      <c r="H103" s="18"/>
    </row>
    <row r="104">
      <c r="G104" s="18"/>
      <c r="H104" s="18"/>
    </row>
    <row r="105">
      <c r="G105" s="18"/>
      <c r="H105" s="18"/>
    </row>
    <row r="106">
      <c r="G106" s="18"/>
      <c r="H106" s="18"/>
    </row>
    <row r="107">
      <c r="G107" s="18"/>
      <c r="H107" s="18"/>
    </row>
    <row r="108">
      <c r="G108" s="18"/>
      <c r="H108" s="18"/>
    </row>
    <row r="109">
      <c r="G109" s="18"/>
      <c r="H109" s="18"/>
    </row>
    <row r="110">
      <c r="G110" s="18"/>
      <c r="H110" s="18"/>
    </row>
    <row r="111">
      <c r="G111" s="18"/>
      <c r="H111" s="18"/>
    </row>
    <row r="112">
      <c r="G112" s="18"/>
      <c r="H112" s="18"/>
    </row>
    <row r="113">
      <c r="G113" s="18"/>
      <c r="H113" s="18"/>
    </row>
    <row r="114">
      <c r="G114" s="18"/>
      <c r="H114" s="18"/>
    </row>
    <row r="115">
      <c r="G115" s="18"/>
      <c r="H115" s="18"/>
    </row>
    <row r="116">
      <c r="G116" s="18"/>
      <c r="H116" s="18"/>
    </row>
    <row r="117">
      <c r="G117" s="18"/>
      <c r="H117" s="18"/>
    </row>
    <row r="118">
      <c r="G118" s="18"/>
      <c r="H118" s="18"/>
    </row>
    <row r="119">
      <c r="G119" s="18"/>
      <c r="H119" s="18"/>
    </row>
    <row r="120">
      <c r="G120" s="18"/>
      <c r="H120" s="18"/>
    </row>
    <row r="121">
      <c r="G121" s="18"/>
      <c r="H121" s="18"/>
    </row>
    <row r="122">
      <c r="G122" s="18"/>
      <c r="H122" s="18"/>
    </row>
    <row r="123">
      <c r="G123" s="18"/>
      <c r="H123" s="18"/>
    </row>
    <row r="124">
      <c r="G124" s="18"/>
      <c r="H124" s="18"/>
    </row>
    <row r="125">
      <c r="G125" s="18"/>
      <c r="H125" s="18"/>
    </row>
    <row r="126">
      <c r="G126" s="18"/>
      <c r="H126" s="18"/>
    </row>
    <row r="127">
      <c r="G127" s="18"/>
      <c r="H127" s="18"/>
    </row>
    <row r="128">
      <c r="G128" s="18"/>
      <c r="H128" s="18"/>
    </row>
    <row r="129">
      <c r="G129" s="18"/>
      <c r="H129" s="18"/>
    </row>
    <row r="130">
      <c r="G130" s="18"/>
      <c r="H130" s="18"/>
    </row>
    <row r="131">
      <c r="G131" s="18"/>
      <c r="H131" s="18"/>
    </row>
    <row r="132">
      <c r="G132" s="18"/>
      <c r="H132" s="18"/>
    </row>
    <row r="133">
      <c r="G133" s="18"/>
      <c r="H133" s="18"/>
    </row>
    <row r="134">
      <c r="G134" s="18"/>
      <c r="H134" s="18"/>
    </row>
    <row r="135">
      <c r="G135" s="18"/>
      <c r="H135" s="18"/>
    </row>
    <row r="136">
      <c r="G136" s="18"/>
      <c r="H136" s="18"/>
    </row>
    <row r="137">
      <c r="G137" s="18"/>
      <c r="H137" s="18"/>
    </row>
    <row r="138">
      <c r="G138" s="18"/>
      <c r="H138" s="18"/>
    </row>
    <row r="139">
      <c r="G139" s="18"/>
      <c r="H139" s="18"/>
    </row>
    <row r="140">
      <c r="G140" s="18"/>
      <c r="H140" s="18"/>
    </row>
    <row r="141">
      <c r="G141" s="18"/>
      <c r="H141" s="18"/>
    </row>
    <row r="142">
      <c r="G142" s="18"/>
      <c r="H142" s="18"/>
    </row>
    <row r="143">
      <c r="G143" s="18"/>
      <c r="H143" s="18"/>
    </row>
    <row r="144">
      <c r="G144" s="18"/>
      <c r="H144" s="18"/>
    </row>
    <row r="145">
      <c r="G145" s="18"/>
      <c r="H145" s="18"/>
    </row>
    <row r="146">
      <c r="G146" s="18"/>
      <c r="H146" s="18"/>
    </row>
    <row r="147">
      <c r="G147" s="18"/>
      <c r="H147" s="18"/>
    </row>
    <row r="148">
      <c r="G148" s="18"/>
      <c r="H148" s="18"/>
    </row>
    <row r="149">
      <c r="G149" s="18"/>
      <c r="H149" s="18"/>
    </row>
    <row r="150">
      <c r="G150" s="18"/>
      <c r="H150" s="18"/>
    </row>
    <row r="151">
      <c r="G151" s="18"/>
      <c r="H151" s="18"/>
    </row>
    <row r="152">
      <c r="G152" s="18"/>
      <c r="H152" s="18"/>
    </row>
    <row r="153">
      <c r="G153" s="18"/>
      <c r="H153" s="18"/>
    </row>
    <row r="154">
      <c r="G154" s="18"/>
      <c r="H154" s="18"/>
    </row>
    <row r="155">
      <c r="G155" s="18"/>
      <c r="H155" s="18"/>
    </row>
    <row r="156">
      <c r="G156" s="18"/>
      <c r="H156" s="18"/>
    </row>
    <row r="157">
      <c r="G157" s="18"/>
      <c r="H157" s="18"/>
    </row>
    <row r="158">
      <c r="G158" s="18"/>
      <c r="H158" s="18"/>
    </row>
    <row r="159">
      <c r="G159" s="18"/>
      <c r="H159" s="18"/>
    </row>
    <row r="160">
      <c r="G160" s="18"/>
      <c r="H160" s="18"/>
    </row>
    <row r="161">
      <c r="G161" s="18"/>
      <c r="H161" s="18"/>
    </row>
    <row r="162">
      <c r="G162" s="18"/>
      <c r="H162" s="18"/>
    </row>
    <row r="163">
      <c r="G163" s="18"/>
      <c r="H163" s="18"/>
    </row>
    <row r="164">
      <c r="G164" s="18"/>
      <c r="H164" s="18"/>
    </row>
    <row r="165">
      <c r="G165" s="18"/>
      <c r="H165" s="18"/>
    </row>
    <row r="166">
      <c r="G166" s="18"/>
      <c r="H166" s="18"/>
    </row>
    <row r="167">
      <c r="G167" s="18"/>
      <c r="H167" s="18"/>
    </row>
    <row r="168">
      <c r="G168" s="18"/>
      <c r="H168" s="18"/>
    </row>
    <row r="169">
      <c r="G169" s="18"/>
      <c r="H169" s="18"/>
    </row>
    <row r="170">
      <c r="G170" s="18"/>
      <c r="H170" s="18"/>
    </row>
    <row r="171">
      <c r="G171" s="18"/>
      <c r="H171" s="18"/>
    </row>
    <row r="172">
      <c r="G172" s="18"/>
      <c r="H172" s="18"/>
    </row>
    <row r="173">
      <c r="G173" s="18"/>
      <c r="H173" s="18"/>
    </row>
    <row r="174">
      <c r="G174" s="18"/>
      <c r="H174" s="18"/>
    </row>
    <row r="175">
      <c r="G175" s="18"/>
      <c r="H175" s="18"/>
    </row>
    <row r="176">
      <c r="G176" s="18"/>
      <c r="H176" s="18"/>
    </row>
    <row r="177">
      <c r="G177" s="18"/>
      <c r="H177" s="18"/>
    </row>
    <row r="178">
      <c r="G178" s="18"/>
      <c r="H178" s="18"/>
    </row>
    <row r="179">
      <c r="G179" s="18"/>
      <c r="H179" s="18"/>
    </row>
    <row r="180">
      <c r="G180" s="18"/>
      <c r="H180" s="18"/>
    </row>
    <row r="181">
      <c r="G181" s="18"/>
      <c r="H181" s="18"/>
    </row>
    <row r="182">
      <c r="G182" s="18"/>
      <c r="H182" s="18"/>
    </row>
    <row r="183">
      <c r="G183" s="18"/>
      <c r="H183" s="18"/>
    </row>
    <row r="184">
      <c r="G184" s="18"/>
      <c r="H184" s="18"/>
    </row>
    <row r="185">
      <c r="G185" s="18"/>
      <c r="H185" s="18"/>
    </row>
    <row r="186">
      <c r="G186" s="18"/>
      <c r="H186" s="18"/>
    </row>
    <row r="187">
      <c r="G187" s="18"/>
      <c r="H187" s="18"/>
    </row>
    <row r="188">
      <c r="G188" s="18"/>
      <c r="H188" s="18"/>
    </row>
    <row r="189">
      <c r="G189" s="18"/>
      <c r="H189" s="18"/>
    </row>
    <row r="190">
      <c r="G190" s="18"/>
      <c r="H190" s="18"/>
    </row>
    <row r="191">
      <c r="G191" s="18"/>
      <c r="H191" s="18"/>
    </row>
    <row r="192">
      <c r="G192" s="18"/>
      <c r="H192" s="18"/>
    </row>
    <row r="193">
      <c r="G193" s="18"/>
      <c r="H193" s="18"/>
    </row>
    <row r="194">
      <c r="G194" s="18"/>
      <c r="H194" s="18"/>
    </row>
    <row r="195">
      <c r="G195" s="18"/>
      <c r="H195" s="18"/>
    </row>
    <row r="196">
      <c r="G196" s="18"/>
      <c r="H196" s="18"/>
    </row>
    <row r="197">
      <c r="G197" s="18"/>
      <c r="H197" s="18"/>
    </row>
    <row r="198">
      <c r="G198" s="18"/>
      <c r="H198" s="18"/>
    </row>
    <row r="199">
      <c r="G199" s="18"/>
      <c r="H199" s="18"/>
    </row>
    <row r="200">
      <c r="G200" s="18"/>
      <c r="H200" s="18"/>
    </row>
    <row r="201">
      <c r="G201" s="18"/>
      <c r="H201" s="18"/>
    </row>
    <row r="202">
      <c r="G202" s="18"/>
      <c r="H202" s="18"/>
    </row>
    <row r="203">
      <c r="G203" s="18"/>
      <c r="H203" s="18"/>
    </row>
    <row r="204">
      <c r="G204" s="18"/>
      <c r="H204" s="18"/>
    </row>
    <row r="205">
      <c r="G205" s="18"/>
      <c r="H205" s="18"/>
    </row>
    <row r="206">
      <c r="G206" s="18"/>
      <c r="H206" s="18"/>
    </row>
    <row r="207">
      <c r="G207" s="18"/>
      <c r="H207" s="18"/>
    </row>
    <row r="208">
      <c r="G208" s="18"/>
      <c r="H208" s="18"/>
    </row>
    <row r="209">
      <c r="G209" s="18"/>
      <c r="H209" s="18"/>
    </row>
    <row r="210">
      <c r="G210" s="18"/>
      <c r="H210" s="18"/>
    </row>
    <row r="211">
      <c r="G211" s="18"/>
      <c r="H211" s="18"/>
    </row>
    <row r="212">
      <c r="G212" s="18"/>
      <c r="H212" s="18"/>
    </row>
    <row r="213">
      <c r="G213" s="18"/>
      <c r="H213" s="18"/>
    </row>
    <row r="214">
      <c r="G214" s="18"/>
      <c r="H214" s="18"/>
    </row>
    <row r="215">
      <c r="G215" s="18"/>
      <c r="H215" s="18"/>
    </row>
    <row r="216">
      <c r="G216" s="18"/>
      <c r="H216" s="18"/>
    </row>
    <row r="217">
      <c r="G217" s="18"/>
      <c r="H217" s="18"/>
    </row>
    <row r="218">
      <c r="G218" s="18"/>
      <c r="H218" s="18"/>
    </row>
    <row r="219">
      <c r="G219" s="18"/>
      <c r="H219" s="18"/>
    </row>
    <row r="220">
      <c r="G220" s="18"/>
      <c r="H220" s="18"/>
    </row>
    <row r="221">
      <c r="G221" s="18"/>
      <c r="H221" s="18"/>
    </row>
    <row r="222">
      <c r="G222" s="18"/>
      <c r="H222" s="18"/>
    </row>
    <row r="223">
      <c r="G223" s="18"/>
      <c r="H223" s="18"/>
    </row>
    <row r="224">
      <c r="G224" s="18"/>
      <c r="H224" s="18"/>
    </row>
    <row r="225">
      <c r="G225" s="18"/>
      <c r="H225" s="18"/>
    </row>
    <row r="226">
      <c r="G226" s="18"/>
      <c r="H226" s="18"/>
    </row>
    <row r="227">
      <c r="G227" s="18"/>
      <c r="H227" s="18"/>
    </row>
    <row r="228">
      <c r="G228" s="18"/>
      <c r="H228" s="18"/>
    </row>
    <row r="229">
      <c r="G229" s="18"/>
      <c r="H229" s="18"/>
    </row>
    <row r="230">
      <c r="G230" s="18"/>
      <c r="H230" s="18"/>
    </row>
    <row r="231">
      <c r="G231" s="18"/>
      <c r="H231" s="18"/>
    </row>
    <row r="232">
      <c r="G232" s="18"/>
      <c r="H232" s="18"/>
    </row>
    <row r="233">
      <c r="G233" s="18"/>
      <c r="H233" s="18"/>
    </row>
    <row r="234">
      <c r="G234" s="18"/>
      <c r="H234" s="18"/>
    </row>
    <row r="235">
      <c r="G235" s="18"/>
      <c r="H235" s="18"/>
    </row>
    <row r="236">
      <c r="G236" s="18"/>
      <c r="H236" s="18"/>
    </row>
    <row r="237">
      <c r="G237" s="18"/>
      <c r="H237" s="18"/>
    </row>
    <row r="238">
      <c r="G238" s="18"/>
      <c r="H238" s="18"/>
    </row>
    <row r="239">
      <c r="G239" s="18"/>
      <c r="H239" s="18"/>
    </row>
    <row r="240">
      <c r="G240" s="18"/>
      <c r="H240" s="18"/>
    </row>
    <row r="241">
      <c r="G241" s="18"/>
      <c r="H241" s="18"/>
    </row>
    <row r="242">
      <c r="G242" s="18"/>
      <c r="H242" s="18"/>
    </row>
    <row r="243">
      <c r="G243" s="18"/>
      <c r="H243" s="18"/>
    </row>
    <row r="244">
      <c r="G244" s="18"/>
      <c r="H244" s="18"/>
    </row>
    <row r="245">
      <c r="G245" s="18"/>
      <c r="H245" s="18"/>
    </row>
    <row r="246">
      <c r="G246" s="18"/>
      <c r="H246" s="18"/>
    </row>
    <row r="247">
      <c r="G247" s="18"/>
      <c r="H247" s="18"/>
    </row>
    <row r="248">
      <c r="G248" s="18"/>
      <c r="H248" s="18"/>
    </row>
    <row r="249">
      <c r="G249" s="18"/>
      <c r="H249" s="18"/>
    </row>
    <row r="250">
      <c r="G250" s="18"/>
      <c r="H250" s="18"/>
    </row>
    <row r="251">
      <c r="G251" s="18"/>
      <c r="H251" s="18"/>
    </row>
    <row r="252">
      <c r="G252" s="18"/>
      <c r="H252" s="18"/>
    </row>
    <row r="253">
      <c r="G253" s="18"/>
      <c r="H253" s="18"/>
    </row>
    <row r="254">
      <c r="G254" s="18"/>
      <c r="H254" s="18"/>
    </row>
    <row r="255">
      <c r="G255" s="18"/>
      <c r="H255" s="18"/>
    </row>
    <row r="256">
      <c r="G256" s="18"/>
      <c r="H256" s="18"/>
    </row>
    <row r="257">
      <c r="G257" s="18"/>
      <c r="H257" s="18"/>
    </row>
    <row r="258">
      <c r="G258" s="18"/>
      <c r="H258" s="18"/>
    </row>
    <row r="259">
      <c r="G259" s="18"/>
      <c r="H259" s="18"/>
    </row>
    <row r="260">
      <c r="G260" s="18"/>
      <c r="H260" s="18"/>
    </row>
    <row r="261">
      <c r="G261" s="18"/>
      <c r="H261" s="18"/>
    </row>
    <row r="262">
      <c r="G262" s="18"/>
      <c r="H262" s="18"/>
    </row>
    <row r="263">
      <c r="G263" s="18"/>
      <c r="H263" s="18"/>
    </row>
    <row r="264">
      <c r="G264" s="18"/>
      <c r="H264" s="18"/>
    </row>
    <row r="265">
      <c r="G265" s="18"/>
      <c r="H265" s="18"/>
    </row>
    <row r="266">
      <c r="G266" s="18"/>
      <c r="H266" s="18"/>
    </row>
    <row r="267">
      <c r="G267" s="18"/>
      <c r="H267" s="18"/>
    </row>
    <row r="268">
      <c r="G268" s="18"/>
      <c r="H268" s="18"/>
    </row>
    <row r="269">
      <c r="G269" s="18"/>
      <c r="H269" s="18"/>
    </row>
    <row r="270">
      <c r="G270" s="18"/>
      <c r="H270" s="18"/>
    </row>
    <row r="271">
      <c r="G271" s="18"/>
      <c r="H271" s="18"/>
    </row>
    <row r="272">
      <c r="G272" s="18"/>
      <c r="H272" s="18"/>
    </row>
    <row r="273">
      <c r="G273" s="18"/>
      <c r="H273" s="18"/>
    </row>
    <row r="274">
      <c r="G274" s="18"/>
      <c r="H274" s="18"/>
    </row>
    <row r="275">
      <c r="G275" s="18"/>
      <c r="H275" s="18"/>
    </row>
    <row r="276">
      <c r="G276" s="18"/>
      <c r="H276" s="18"/>
    </row>
    <row r="277">
      <c r="G277" s="18"/>
      <c r="H277" s="18"/>
    </row>
    <row r="278">
      <c r="G278" s="18"/>
      <c r="H278" s="18"/>
    </row>
    <row r="279">
      <c r="G279" s="18"/>
      <c r="H279" s="18"/>
    </row>
    <row r="280">
      <c r="G280" s="18"/>
      <c r="H280" s="18"/>
    </row>
    <row r="281">
      <c r="G281" s="18"/>
      <c r="H281" s="18"/>
    </row>
    <row r="282">
      <c r="G282" s="18"/>
      <c r="H282" s="18"/>
    </row>
    <row r="283">
      <c r="G283" s="18"/>
      <c r="H283" s="18"/>
    </row>
    <row r="284">
      <c r="G284" s="18"/>
      <c r="H284" s="18"/>
    </row>
    <row r="285">
      <c r="G285" s="18"/>
      <c r="H285" s="18"/>
    </row>
    <row r="286">
      <c r="G286" s="18"/>
      <c r="H286" s="18"/>
    </row>
    <row r="287">
      <c r="G287" s="18"/>
      <c r="H287" s="18"/>
    </row>
    <row r="288">
      <c r="G288" s="18"/>
      <c r="H288" s="18"/>
    </row>
    <row r="289">
      <c r="G289" s="18"/>
      <c r="H289" s="18"/>
    </row>
    <row r="290">
      <c r="G290" s="18"/>
      <c r="H290" s="18"/>
    </row>
    <row r="291">
      <c r="G291" s="18"/>
      <c r="H291" s="18"/>
    </row>
    <row r="292">
      <c r="G292" s="18"/>
      <c r="H292" s="18"/>
    </row>
    <row r="293">
      <c r="G293" s="18"/>
      <c r="H293" s="18"/>
    </row>
    <row r="294">
      <c r="G294" s="18"/>
      <c r="H294" s="18"/>
    </row>
    <row r="295">
      <c r="G295" s="18"/>
      <c r="H295" s="18"/>
    </row>
    <row r="296">
      <c r="G296" s="18"/>
      <c r="H296" s="18"/>
    </row>
    <row r="297">
      <c r="G297" s="18"/>
      <c r="H297" s="18"/>
    </row>
    <row r="298">
      <c r="G298" s="18"/>
      <c r="H298" s="18"/>
    </row>
    <row r="299">
      <c r="G299" s="18"/>
      <c r="H299" s="18"/>
    </row>
    <row r="300">
      <c r="G300" s="18"/>
      <c r="H300" s="18"/>
    </row>
    <row r="301">
      <c r="G301" s="18"/>
      <c r="H301" s="18"/>
    </row>
    <row r="302">
      <c r="G302" s="18"/>
      <c r="H302" s="18"/>
    </row>
    <row r="303">
      <c r="G303" s="18"/>
      <c r="H303" s="18"/>
    </row>
    <row r="304">
      <c r="G304" s="18"/>
      <c r="H304" s="18"/>
    </row>
    <row r="305">
      <c r="G305" s="18"/>
      <c r="H305" s="18"/>
    </row>
    <row r="306">
      <c r="G306" s="18"/>
      <c r="H306" s="18"/>
    </row>
    <row r="307">
      <c r="G307" s="18"/>
      <c r="H307" s="18"/>
    </row>
    <row r="308">
      <c r="G308" s="18"/>
      <c r="H308" s="18"/>
    </row>
    <row r="309">
      <c r="G309" s="18"/>
      <c r="H309" s="18"/>
    </row>
    <row r="310">
      <c r="G310" s="18"/>
      <c r="H310" s="18"/>
    </row>
    <row r="311">
      <c r="G311" s="18"/>
      <c r="H311" s="18"/>
    </row>
    <row r="312">
      <c r="G312" s="18"/>
      <c r="H312" s="18"/>
    </row>
    <row r="313">
      <c r="G313" s="18"/>
      <c r="H313" s="18"/>
    </row>
    <row r="314">
      <c r="G314" s="18"/>
      <c r="H314" s="18"/>
    </row>
    <row r="315">
      <c r="G315" s="18"/>
      <c r="H315" s="18"/>
    </row>
    <row r="316">
      <c r="G316" s="18"/>
      <c r="H316" s="18"/>
    </row>
    <row r="317">
      <c r="G317" s="18"/>
      <c r="H317" s="18"/>
    </row>
    <row r="318">
      <c r="G318" s="18"/>
      <c r="H318" s="18"/>
    </row>
    <row r="319">
      <c r="G319" s="18"/>
      <c r="H319" s="18"/>
    </row>
    <row r="320">
      <c r="G320" s="18"/>
      <c r="H320" s="18"/>
    </row>
    <row r="321">
      <c r="G321" s="18"/>
      <c r="H321" s="18"/>
    </row>
    <row r="322">
      <c r="G322" s="18"/>
      <c r="H322" s="18"/>
    </row>
    <row r="323">
      <c r="G323" s="18"/>
      <c r="H323" s="18"/>
    </row>
    <row r="324">
      <c r="G324" s="18"/>
      <c r="H324" s="18"/>
    </row>
    <row r="325">
      <c r="G325" s="18"/>
      <c r="H325" s="18"/>
    </row>
    <row r="326">
      <c r="G326" s="18"/>
      <c r="H326" s="18"/>
    </row>
    <row r="327">
      <c r="G327" s="18"/>
      <c r="H327" s="18"/>
    </row>
    <row r="328">
      <c r="G328" s="18"/>
      <c r="H328" s="18"/>
    </row>
    <row r="329">
      <c r="G329" s="18"/>
      <c r="H329" s="18"/>
    </row>
    <row r="330">
      <c r="G330" s="18"/>
      <c r="H330" s="18"/>
    </row>
    <row r="331">
      <c r="G331" s="18"/>
      <c r="H331" s="18"/>
    </row>
    <row r="332">
      <c r="G332" s="18"/>
      <c r="H332" s="18"/>
    </row>
    <row r="333">
      <c r="G333" s="18"/>
      <c r="H333" s="18"/>
    </row>
    <row r="334">
      <c r="G334" s="18"/>
      <c r="H334" s="18"/>
    </row>
    <row r="335">
      <c r="G335" s="18"/>
      <c r="H335" s="18"/>
    </row>
    <row r="336">
      <c r="G336" s="18"/>
      <c r="H336" s="18"/>
    </row>
    <row r="337">
      <c r="G337" s="18"/>
      <c r="H337" s="18"/>
    </row>
    <row r="338">
      <c r="G338" s="18"/>
      <c r="H338" s="18"/>
    </row>
    <row r="339">
      <c r="G339" s="18"/>
      <c r="H339" s="18"/>
    </row>
    <row r="340">
      <c r="G340" s="18"/>
      <c r="H340" s="18"/>
    </row>
    <row r="341">
      <c r="G341" s="18"/>
      <c r="H341" s="18"/>
    </row>
    <row r="342">
      <c r="G342" s="18"/>
      <c r="H342" s="18"/>
    </row>
    <row r="343">
      <c r="G343" s="18"/>
      <c r="H343" s="18"/>
    </row>
    <row r="344">
      <c r="G344" s="18"/>
      <c r="H344" s="18"/>
    </row>
    <row r="345">
      <c r="G345" s="18"/>
      <c r="H345" s="18"/>
    </row>
    <row r="346">
      <c r="G346" s="18"/>
      <c r="H346" s="18"/>
    </row>
    <row r="347">
      <c r="G347" s="18"/>
      <c r="H347" s="18"/>
    </row>
    <row r="348">
      <c r="G348" s="18"/>
      <c r="H348" s="18"/>
    </row>
    <row r="349">
      <c r="G349" s="18"/>
      <c r="H349" s="18"/>
    </row>
    <row r="350">
      <c r="G350" s="18"/>
      <c r="H350" s="18"/>
    </row>
    <row r="351">
      <c r="G351" s="18"/>
      <c r="H351" s="18"/>
    </row>
    <row r="352">
      <c r="G352" s="18"/>
      <c r="H352" s="18"/>
    </row>
    <row r="353">
      <c r="G353" s="18"/>
      <c r="H353" s="18"/>
    </row>
    <row r="354">
      <c r="G354" s="18"/>
      <c r="H354" s="18"/>
    </row>
    <row r="355">
      <c r="G355" s="18"/>
      <c r="H355" s="18"/>
    </row>
    <row r="356">
      <c r="G356" s="18"/>
      <c r="H356" s="18"/>
    </row>
    <row r="357">
      <c r="G357" s="18"/>
      <c r="H357" s="18"/>
    </row>
    <row r="358">
      <c r="G358" s="18"/>
      <c r="H358" s="18"/>
    </row>
    <row r="359">
      <c r="G359" s="18"/>
      <c r="H359" s="18"/>
    </row>
    <row r="360">
      <c r="G360" s="18"/>
      <c r="H360" s="18"/>
    </row>
    <row r="361">
      <c r="G361" s="18"/>
      <c r="H361" s="18"/>
    </row>
    <row r="362">
      <c r="G362" s="18"/>
      <c r="H362" s="18"/>
    </row>
    <row r="363">
      <c r="G363" s="18"/>
      <c r="H363" s="18"/>
    </row>
    <row r="364">
      <c r="G364" s="18"/>
      <c r="H364" s="18"/>
    </row>
    <row r="365">
      <c r="G365" s="18"/>
      <c r="H365" s="18"/>
    </row>
    <row r="366">
      <c r="G366" s="18"/>
      <c r="H366" s="18"/>
    </row>
    <row r="367">
      <c r="G367" s="18"/>
      <c r="H367" s="18"/>
    </row>
    <row r="368">
      <c r="G368" s="18"/>
      <c r="H368" s="18"/>
    </row>
    <row r="369">
      <c r="G369" s="18"/>
      <c r="H369" s="18"/>
    </row>
    <row r="370">
      <c r="G370" s="18"/>
      <c r="H370" s="18"/>
    </row>
    <row r="371">
      <c r="G371" s="18"/>
      <c r="H371" s="18"/>
    </row>
    <row r="372">
      <c r="G372" s="18"/>
      <c r="H372" s="18"/>
    </row>
    <row r="373">
      <c r="G373" s="18"/>
      <c r="H373" s="18"/>
    </row>
    <row r="374">
      <c r="G374" s="18"/>
      <c r="H374" s="18"/>
    </row>
    <row r="375">
      <c r="G375" s="18"/>
      <c r="H375" s="18"/>
    </row>
    <row r="376">
      <c r="G376" s="18"/>
      <c r="H376" s="18"/>
    </row>
    <row r="377">
      <c r="G377" s="18"/>
      <c r="H377" s="18"/>
    </row>
    <row r="378">
      <c r="G378" s="18"/>
      <c r="H378" s="18"/>
    </row>
    <row r="379">
      <c r="G379" s="18"/>
      <c r="H379" s="18"/>
    </row>
    <row r="380">
      <c r="G380" s="18"/>
      <c r="H380" s="18"/>
    </row>
    <row r="381">
      <c r="G381" s="18"/>
      <c r="H381" s="18"/>
    </row>
    <row r="382">
      <c r="G382" s="18"/>
      <c r="H382" s="18"/>
    </row>
    <row r="383">
      <c r="G383" s="18"/>
      <c r="H383" s="18"/>
    </row>
    <row r="384">
      <c r="G384" s="18"/>
      <c r="H384" s="18"/>
    </row>
    <row r="385">
      <c r="G385" s="18"/>
      <c r="H385" s="18"/>
    </row>
    <row r="386">
      <c r="G386" s="18"/>
      <c r="H386" s="18"/>
    </row>
    <row r="387">
      <c r="G387" s="18"/>
      <c r="H387" s="18"/>
    </row>
    <row r="388">
      <c r="G388" s="18"/>
      <c r="H388" s="18"/>
    </row>
    <row r="389">
      <c r="G389" s="18"/>
      <c r="H389" s="18"/>
    </row>
    <row r="390">
      <c r="G390" s="18"/>
      <c r="H390" s="18"/>
    </row>
    <row r="391">
      <c r="G391" s="18"/>
      <c r="H391" s="18"/>
    </row>
    <row r="392">
      <c r="G392" s="18"/>
      <c r="H392" s="18"/>
    </row>
    <row r="393">
      <c r="G393" s="18"/>
      <c r="H393" s="18"/>
    </row>
    <row r="394">
      <c r="G394" s="18"/>
      <c r="H394" s="18"/>
    </row>
    <row r="395">
      <c r="G395" s="18"/>
      <c r="H395" s="18"/>
    </row>
    <row r="396">
      <c r="G396" s="18"/>
      <c r="H396" s="18"/>
    </row>
    <row r="397">
      <c r="G397" s="18"/>
      <c r="H397" s="18"/>
    </row>
    <row r="398">
      <c r="G398" s="18"/>
      <c r="H398" s="18"/>
    </row>
    <row r="399">
      <c r="G399" s="18"/>
      <c r="H399" s="18"/>
    </row>
    <row r="400">
      <c r="G400" s="18"/>
      <c r="H400" s="18"/>
    </row>
    <row r="401">
      <c r="G401" s="18"/>
      <c r="H401" s="18"/>
    </row>
    <row r="402">
      <c r="G402" s="18"/>
      <c r="H402" s="18"/>
    </row>
    <row r="403">
      <c r="G403" s="18"/>
      <c r="H403" s="18"/>
    </row>
    <row r="404">
      <c r="G404" s="18"/>
      <c r="H404" s="18"/>
    </row>
    <row r="405">
      <c r="G405" s="18"/>
      <c r="H405" s="18"/>
    </row>
    <row r="406">
      <c r="G406" s="18"/>
      <c r="H406" s="18"/>
    </row>
    <row r="407">
      <c r="G407" s="18"/>
      <c r="H407" s="18"/>
    </row>
    <row r="408">
      <c r="G408" s="18"/>
      <c r="H408" s="18"/>
    </row>
    <row r="409">
      <c r="G409" s="18"/>
      <c r="H409" s="18"/>
    </row>
    <row r="410">
      <c r="G410" s="18"/>
      <c r="H410" s="18"/>
    </row>
    <row r="411">
      <c r="G411" s="18"/>
      <c r="H411" s="18"/>
    </row>
    <row r="412">
      <c r="G412" s="18"/>
      <c r="H412" s="18"/>
    </row>
    <row r="413">
      <c r="G413" s="18"/>
      <c r="H413" s="18"/>
    </row>
    <row r="414">
      <c r="G414" s="18"/>
      <c r="H414" s="18"/>
    </row>
    <row r="415">
      <c r="G415" s="18"/>
      <c r="H415" s="18"/>
    </row>
    <row r="416">
      <c r="G416" s="18"/>
      <c r="H416" s="18"/>
    </row>
    <row r="417">
      <c r="G417" s="18"/>
      <c r="H417" s="18"/>
    </row>
    <row r="418">
      <c r="G418" s="18"/>
      <c r="H418" s="18"/>
    </row>
    <row r="419">
      <c r="G419" s="18"/>
      <c r="H419" s="18"/>
    </row>
    <row r="420">
      <c r="G420" s="18"/>
      <c r="H420" s="18"/>
    </row>
    <row r="421">
      <c r="G421" s="18"/>
      <c r="H421" s="18"/>
    </row>
    <row r="422">
      <c r="G422" s="18"/>
      <c r="H422" s="18"/>
    </row>
    <row r="423">
      <c r="G423" s="18"/>
      <c r="H423" s="18"/>
    </row>
    <row r="424">
      <c r="G424" s="18"/>
      <c r="H424" s="18"/>
    </row>
    <row r="425">
      <c r="G425" s="18"/>
      <c r="H425" s="18"/>
    </row>
    <row r="426">
      <c r="G426" s="18"/>
      <c r="H426" s="18"/>
    </row>
    <row r="427">
      <c r="G427" s="18"/>
      <c r="H427" s="18"/>
    </row>
    <row r="428">
      <c r="G428" s="18"/>
      <c r="H428" s="18"/>
    </row>
    <row r="429">
      <c r="G429" s="18"/>
      <c r="H429" s="18"/>
    </row>
    <row r="430">
      <c r="G430" s="18"/>
      <c r="H430" s="18"/>
    </row>
    <row r="431">
      <c r="G431" s="18"/>
      <c r="H431" s="18"/>
    </row>
    <row r="432">
      <c r="G432" s="18"/>
      <c r="H432" s="18"/>
    </row>
    <row r="433">
      <c r="G433" s="18"/>
      <c r="H433" s="18"/>
    </row>
    <row r="434">
      <c r="G434" s="18"/>
      <c r="H434" s="18"/>
    </row>
    <row r="435">
      <c r="G435" s="18"/>
      <c r="H435" s="18"/>
    </row>
    <row r="436">
      <c r="G436" s="18"/>
      <c r="H436" s="18"/>
    </row>
    <row r="437">
      <c r="G437" s="18"/>
      <c r="H437" s="18"/>
    </row>
    <row r="438">
      <c r="G438" s="18"/>
      <c r="H438" s="18"/>
    </row>
    <row r="439">
      <c r="G439" s="18"/>
      <c r="H439" s="18"/>
    </row>
    <row r="440">
      <c r="G440" s="18"/>
      <c r="H440" s="18"/>
    </row>
    <row r="441">
      <c r="G441" s="18"/>
      <c r="H441" s="18"/>
    </row>
    <row r="442">
      <c r="G442" s="18"/>
      <c r="H442" s="18"/>
    </row>
    <row r="443">
      <c r="G443" s="18"/>
      <c r="H443" s="18"/>
    </row>
    <row r="444">
      <c r="G444" s="18"/>
      <c r="H444" s="18"/>
    </row>
    <row r="445">
      <c r="G445" s="18"/>
      <c r="H445" s="18"/>
    </row>
    <row r="446">
      <c r="G446" s="18"/>
      <c r="H446" s="18"/>
    </row>
    <row r="447">
      <c r="G447" s="18"/>
      <c r="H447" s="18"/>
    </row>
    <row r="448">
      <c r="G448" s="18"/>
      <c r="H448" s="18"/>
    </row>
    <row r="449">
      <c r="G449" s="18"/>
      <c r="H449" s="18"/>
    </row>
    <row r="450">
      <c r="G450" s="18"/>
      <c r="H450" s="18"/>
    </row>
    <row r="451">
      <c r="G451" s="18"/>
      <c r="H451" s="18"/>
    </row>
    <row r="452">
      <c r="G452" s="18"/>
      <c r="H452" s="18"/>
    </row>
    <row r="453">
      <c r="G453" s="18"/>
      <c r="H453" s="18"/>
    </row>
    <row r="454">
      <c r="G454" s="18"/>
      <c r="H454" s="18"/>
    </row>
    <row r="455">
      <c r="G455" s="18"/>
      <c r="H455" s="18"/>
    </row>
    <row r="456">
      <c r="G456" s="18"/>
      <c r="H456" s="18"/>
    </row>
    <row r="457">
      <c r="G457" s="18"/>
      <c r="H457" s="18"/>
    </row>
    <row r="458">
      <c r="G458" s="18"/>
      <c r="H458" s="18"/>
    </row>
    <row r="459">
      <c r="G459" s="18"/>
      <c r="H459" s="18"/>
    </row>
    <row r="460">
      <c r="G460" s="18"/>
      <c r="H460" s="18"/>
    </row>
    <row r="461">
      <c r="G461" s="18"/>
      <c r="H461" s="18"/>
    </row>
    <row r="462">
      <c r="G462" s="18"/>
      <c r="H462" s="18"/>
    </row>
    <row r="463">
      <c r="G463" s="18"/>
      <c r="H463" s="18"/>
    </row>
    <row r="464">
      <c r="G464" s="18"/>
      <c r="H464" s="18"/>
    </row>
    <row r="465">
      <c r="G465" s="18"/>
      <c r="H465" s="18"/>
    </row>
    <row r="466">
      <c r="G466" s="18"/>
      <c r="H466" s="18"/>
    </row>
    <row r="467">
      <c r="G467" s="18"/>
      <c r="H467" s="18"/>
    </row>
    <row r="468">
      <c r="G468" s="18"/>
      <c r="H468" s="18"/>
    </row>
    <row r="469">
      <c r="G469" s="18"/>
      <c r="H469" s="18"/>
    </row>
    <row r="470">
      <c r="G470" s="18"/>
      <c r="H470" s="18"/>
    </row>
    <row r="471">
      <c r="G471" s="18"/>
      <c r="H471" s="18"/>
    </row>
    <row r="472">
      <c r="G472" s="18"/>
      <c r="H472" s="18"/>
    </row>
    <row r="473">
      <c r="G473" s="18"/>
      <c r="H473" s="18"/>
    </row>
    <row r="474">
      <c r="G474" s="18"/>
      <c r="H474" s="18"/>
    </row>
    <row r="475">
      <c r="G475" s="18"/>
      <c r="H475" s="18"/>
    </row>
    <row r="476">
      <c r="G476" s="18"/>
      <c r="H476" s="18"/>
    </row>
    <row r="477">
      <c r="G477" s="18"/>
      <c r="H477" s="18"/>
    </row>
    <row r="478">
      <c r="G478" s="18"/>
      <c r="H478" s="18"/>
    </row>
    <row r="479">
      <c r="G479" s="18"/>
      <c r="H479" s="18"/>
    </row>
    <row r="480">
      <c r="G480" s="18"/>
      <c r="H480" s="18"/>
    </row>
    <row r="481">
      <c r="G481" s="18"/>
      <c r="H481" s="18"/>
    </row>
    <row r="482">
      <c r="G482" s="18"/>
      <c r="H482" s="18"/>
    </row>
    <row r="483">
      <c r="G483" s="18"/>
      <c r="H483" s="18"/>
    </row>
    <row r="484">
      <c r="G484" s="18"/>
      <c r="H484" s="18"/>
    </row>
    <row r="485">
      <c r="G485" s="18"/>
      <c r="H485" s="18"/>
    </row>
    <row r="486">
      <c r="G486" s="18"/>
      <c r="H486" s="18"/>
    </row>
    <row r="487">
      <c r="G487" s="18"/>
      <c r="H487" s="18"/>
    </row>
    <row r="488">
      <c r="G488" s="18"/>
      <c r="H488" s="18"/>
    </row>
    <row r="489">
      <c r="G489" s="18"/>
      <c r="H489" s="18"/>
    </row>
    <row r="490">
      <c r="G490" s="18"/>
      <c r="H490" s="18"/>
    </row>
    <row r="491">
      <c r="G491" s="18"/>
      <c r="H491" s="18"/>
    </row>
    <row r="492">
      <c r="G492" s="18"/>
      <c r="H492" s="18"/>
    </row>
    <row r="493">
      <c r="G493" s="18"/>
      <c r="H493" s="18"/>
    </row>
    <row r="494">
      <c r="G494" s="18"/>
      <c r="H494" s="18"/>
    </row>
    <row r="495">
      <c r="G495" s="18"/>
      <c r="H495" s="18"/>
    </row>
    <row r="496">
      <c r="G496" s="18"/>
      <c r="H496" s="18"/>
    </row>
    <row r="497">
      <c r="G497" s="18"/>
      <c r="H497" s="18"/>
    </row>
    <row r="498">
      <c r="G498" s="18"/>
      <c r="H498" s="18"/>
    </row>
    <row r="499">
      <c r="G499" s="18"/>
      <c r="H499" s="18"/>
    </row>
    <row r="500">
      <c r="G500" s="18"/>
      <c r="H500" s="18"/>
    </row>
    <row r="501">
      <c r="G501" s="18"/>
      <c r="H501" s="18"/>
    </row>
    <row r="502">
      <c r="G502" s="18"/>
      <c r="H502" s="18"/>
    </row>
    <row r="503">
      <c r="G503" s="18"/>
      <c r="H503" s="18"/>
    </row>
    <row r="504">
      <c r="G504" s="18"/>
      <c r="H504" s="18"/>
    </row>
    <row r="505">
      <c r="G505" s="18"/>
      <c r="H505" s="18"/>
    </row>
    <row r="506">
      <c r="G506" s="18"/>
      <c r="H506" s="18"/>
    </row>
    <row r="507">
      <c r="G507" s="18"/>
      <c r="H507" s="18"/>
    </row>
    <row r="508">
      <c r="G508" s="18"/>
      <c r="H508" s="18"/>
    </row>
    <row r="509">
      <c r="G509" s="18"/>
      <c r="H509" s="18"/>
    </row>
    <row r="510">
      <c r="G510" s="18"/>
      <c r="H510" s="18"/>
    </row>
    <row r="511">
      <c r="G511" s="18"/>
      <c r="H511" s="18"/>
    </row>
    <row r="512">
      <c r="G512" s="18"/>
      <c r="H512" s="18"/>
    </row>
    <row r="513">
      <c r="G513" s="18"/>
      <c r="H513" s="18"/>
    </row>
    <row r="514">
      <c r="G514" s="18"/>
      <c r="H514" s="18"/>
    </row>
    <row r="515">
      <c r="G515" s="18"/>
      <c r="H515" s="18"/>
    </row>
    <row r="516">
      <c r="G516" s="18"/>
      <c r="H516" s="18"/>
    </row>
    <row r="517">
      <c r="G517" s="18"/>
      <c r="H517" s="18"/>
    </row>
    <row r="518">
      <c r="G518" s="18"/>
      <c r="H518" s="18"/>
    </row>
    <row r="519">
      <c r="G519" s="18"/>
      <c r="H519" s="18"/>
    </row>
    <row r="520">
      <c r="G520" s="18"/>
      <c r="H520" s="18"/>
    </row>
    <row r="521">
      <c r="G521" s="18"/>
      <c r="H521" s="18"/>
    </row>
    <row r="522">
      <c r="G522" s="18"/>
      <c r="H522" s="18"/>
    </row>
    <row r="523">
      <c r="G523" s="18"/>
      <c r="H523" s="18"/>
    </row>
    <row r="524">
      <c r="G524" s="18"/>
      <c r="H524" s="18"/>
    </row>
    <row r="525">
      <c r="G525" s="18"/>
      <c r="H525" s="18"/>
    </row>
    <row r="526">
      <c r="G526" s="18"/>
      <c r="H526" s="18"/>
    </row>
    <row r="527">
      <c r="G527" s="18"/>
      <c r="H527" s="18"/>
    </row>
    <row r="528">
      <c r="G528" s="18"/>
      <c r="H528" s="18"/>
    </row>
    <row r="529">
      <c r="G529" s="18"/>
      <c r="H529" s="18"/>
    </row>
    <row r="530">
      <c r="G530" s="18"/>
      <c r="H530" s="18"/>
    </row>
    <row r="531">
      <c r="G531" s="18"/>
      <c r="H531" s="18"/>
    </row>
    <row r="532">
      <c r="G532" s="18"/>
      <c r="H532" s="18"/>
    </row>
    <row r="533">
      <c r="G533" s="18"/>
      <c r="H533" s="18"/>
    </row>
    <row r="534">
      <c r="G534" s="18"/>
      <c r="H534" s="18"/>
    </row>
    <row r="535">
      <c r="G535" s="18"/>
      <c r="H535" s="18"/>
    </row>
    <row r="536">
      <c r="G536" s="18"/>
      <c r="H536" s="18"/>
    </row>
    <row r="537">
      <c r="G537" s="18"/>
      <c r="H537" s="18"/>
    </row>
    <row r="538">
      <c r="G538" s="18"/>
      <c r="H538" s="18"/>
    </row>
    <row r="539">
      <c r="G539" s="18"/>
      <c r="H539" s="18"/>
    </row>
    <row r="540">
      <c r="G540" s="18"/>
      <c r="H540" s="18"/>
    </row>
    <row r="541">
      <c r="G541" s="18"/>
      <c r="H541" s="18"/>
    </row>
    <row r="542">
      <c r="G542" s="18"/>
      <c r="H542" s="18"/>
    </row>
    <row r="543">
      <c r="G543" s="18"/>
      <c r="H543" s="18"/>
    </row>
    <row r="544">
      <c r="G544" s="18"/>
      <c r="H544" s="18"/>
    </row>
    <row r="545">
      <c r="G545" s="18"/>
      <c r="H545" s="18"/>
    </row>
    <row r="546">
      <c r="G546" s="18"/>
      <c r="H546" s="18"/>
    </row>
    <row r="547">
      <c r="G547" s="18"/>
      <c r="H547" s="18"/>
    </row>
    <row r="548">
      <c r="G548" s="18"/>
      <c r="H548" s="18"/>
    </row>
    <row r="549">
      <c r="G549" s="18"/>
      <c r="H549" s="18"/>
    </row>
    <row r="550">
      <c r="G550" s="18"/>
      <c r="H550" s="18"/>
    </row>
    <row r="551">
      <c r="G551" s="18"/>
      <c r="H551" s="18"/>
    </row>
    <row r="552">
      <c r="G552" s="18"/>
      <c r="H552" s="18"/>
    </row>
    <row r="553">
      <c r="G553" s="18"/>
      <c r="H553" s="18"/>
    </row>
    <row r="554">
      <c r="G554" s="18"/>
      <c r="H554" s="18"/>
    </row>
    <row r="555">
      <c r="G555" s="18"/>
      <c r="H555" s="18"/>
    </row>
    <row r="556">
      <c r="G556" s="18"/>
      <c r="H556" s="18"/>
    </row>
    <row r="557">
      <c r="G557" s="18"/>
      <c r="H557" s="18"/>
    </row>
    <row r="558">
      <c r="G558" s="18"/>
      <c r="H558" s="18"/>
    </row>
    <row r="559">
      <c r="G559" s="18"/>
      <c r="H559" s="18"/>
    </row>
    <row r="560">
      <c r="G560" s="18"/>
      <c r="H560" s="18"/>
    </row>
    <row r="561">
      <c r="G561" s="18"/>
      <c r="H561" s="18"/>
    </row>
    <row r="562">
      <c r="G562" s="18"/>
      <c r="H562" s="18"/>
    </row>
    <row r="563">
      <c r="G563" s="18"/>
      <c r="H563" s="18"/>
    </row>
    <row r="564">
      <c r="G564" s="18"/>
      <c r="H564" s="18"/>
    </row>
    <row r="565">
      <c r="G565" s="18"/>
      <c r="H565" s="18"/>
    </row>
    <row r="566">
      <c r="G566" s="18"/>
      <c r="H566" s="18"/>
    </row>
    <row r="567">
      <c r="G567" s="18"/>
      <c r="H567" s="18"/>
    </row>
    <row r="568">
      <c r="G568" s="18"/>
      <c r="H568" s="18"/>
    </row>
    <row r="569">
      <c r="G569" s="18"/>
      <c r="H569" s="18"/>
    </row>
    <row r="570">
      <c r="G570" s="18"/>
      <c r="H570" s="18"/>
    </row>
    <row r="571">
      <c r="G571" s="18"/>
      <c r="H571" s="18"/>
    </row>
    <row r="572">
      <c r="G572" s="18"/>
      <c r="H572" s="18"/>
    </row>
    <row r="573">
      <c r="G573" s="18"/>
      <c r="H573" s="18"/>
    </row>
    <row r="574">
      <c r="G574" s="18"/>
      <c r="H574" s="18"/>
    </row>
    <row r="575">
      <c r="G575" s="18"/>
      <c r="H575" s="18"/>
    </row>
    <row r="576">
      <c r="G576" s="18"/>
      <c r="H576" s="18"/>
    </row>
    <row r="577">
      <c r="G577" s="18"/>
      <c r="H577" s="18"/>
    </row>
    <row r="578">
      <c r="G578" s="18"/>
      <c r="H578" s="18"/>
    </row>
    <row r="579">
      <c r="G579" s="18"/>
      <c r="H579" s="18"/>
    </row>
    <row r="580">
      <c r="G580" s="18"/>
      <c r="H580" s="18"/>
    </row>
    <row r="581">
      <c r="G581" s="18"/>
      <c r="H581" s="18"/>
    </row>
    <row r="582">
      <c r="G582" s="18"/>
      <c r="H582" s="18"/>
    </row>
    <row r="583">
      <c r="G583" s="18"/>
      <c r="H583" s="18"/>
    </row>
    <row r="584">
      <c r="G584" s="18"/>
      <c r="H584" s="18"/>
    </row>
    <row r="585">
      <c r="G585" s="18"/>
      <c r="H585" s="18"/>
    </row>
    <row r="586">
      <c r="G586" s="18"/>
      <c r="H586" s="18"/>
    </row>
    <row r="587">
      <c r="G587" s="18"/>
      <c r="H587" s="18"/>
    </row>
    <row r="588">
      <c r="G588" s="18"/>
      <c r="H588" s="18"/>
    </row>
    <row r="589">
      <c r="G589" s="18"/>
      <c r="H589" s="18"/>
    </row>
    <row r="590">
      <c r="G590" s="18"/>
      <c r="H590" s="18"/>
    </row>
    <row r="591">
      <c r="G591" s="18"/>
      <c r="H591" s="18"/>
    </row>
    <row r="592">
      <c r="G592" s="18"/>
      <c r="H592" s="18"/>
    </row>
    <row r="593">
      <c r="G593" s="18"/>
      <c r="H593" s="18"/>
    </row>
    <row r="594">
      <c r="G594" s="18"/>
      <c r="H594" s="18"/>
    </row>
    <row r="595">
      <c r="G595" s="18"/>
      <c r="H595" s="18"/>
    </row>
    <row r="596">
      <c r="G596" s="18"/>
      <c r="H596" s="18"/>
    </row>
    <row r="597">
      <c r="G597" s="18"/>
      <c r="H597" s="18"/>
    </row>
    <row r="598">
      <c r="G598" s="18"/>
      <c r="H598" s="18"/>
    </row>
    <row r="599">
      <c r="G599" s="18"/>
      <c r="H599" s="18"/>
    </row>
    <row r="600">
      <c r="G600" s="18"/>
      <c r="H600" s="18"/>
    </row>
    <row r="601">
      <c r="G601" s="18"/>
      <c r="H601" s="18"/>
    </row>
    <row r="602">
      <c r="G602" s="18"/>
      <c r="H602" s="18"/>
    </row>
    <row r="603">
      <c r="G603" s="18"/>
      <c r="H603" s="18"/>
    </row>
    <row r="604">
      <c r="G604" s="18"/>
      <c r="H604" s="18"/>
    </row>
    <row r="605">
      <c r="G605" s="18"/>
      <c r="H605" s="18"/>
    </row>
    <row r="606">
      <c r="G606" s="18"/>
      <c r="H606" s="18"/>
    </row>
    <row r="607">
      <c r="G607" s="18"/>
      <c r="H607" s="18"/>
    </row>
    <row r="608">
      <c r="G608" s="18"/>
      <c r="H608" s="18"/>
    </row>
    <row r="609">
      <c r="G609" s="18"/>
      <c r="H609" s="18"/>
    </row>
    <row r="610">
      <c r="G610" s="18"/>
      <c r="H610" s="18"/>
    </row>
    <row r="611">
      <c r="G611" s="18"/>
      <c r="H611" s="18"/>
    </row>
    <row r="612">
      <c r="G612" s="18"/>
      <c r="H612" s="18"/>
    </row>
    <row r="613">
      <c r="G613" s="18"/>
      <c r="H613" s="18"/>
    </row>
    <row r="614">
      <c r="G614" s="18"/>
      <c r="H614" s="18"/>
    </row>
    <row r="615">
      <c r="G615" s="18"/>
      <c r="H615" s="18"/>
    </row>
    <row r="616">
      <c r="G616" s="18"/>
      <c r="H616" s="18"/>
    </row>
    <row r="617">
      <c r="G617" s="18"/>
      <c r="H617" s="18"/>
    </row>
    <row r="618">
      <c r="G618" s="18"/>
      <c r="H618" s="18"/>
    </row>
    <row r="619">
      <c r="G619" s="18"/>
      <c r="H619" s="18"/>
    </row>
    <row r="620">
      <c r="G620" s="18"/>
      <c r="H620" s="18"/>
    </row>
    <row r="621">
      <c r="G621" s="18"/>
      <c r="H621" s="18"/>
    </row>
    <row r="622">
      <c r="G622" s="18"/>
      <c r="H622" s="18"/>
    </row>
    <row r="623">
      <c r="G623" s="18"/>
      <c r="H623" s="18"/>
    </row>
    <row r="624">
      <c r="G624" s="18"/>
      <c r="H624" s="18"/>
    </row>
    <row r="625">
      <c r="G625" s="18"/>
      <c r="H625" s="18"/>
    </row>
    <row r="626">
      <c r="G626" s="18"/>
      <c r="H626" s="18"/>
    </row>
    <row r="627">
      <c r="G627" s="18"/>
      <c r="H627" s="18"/>
    </row>
    <row r="628">
      <c r="G628" s="18"/>
      <c r="H628" s="18"/>
    </row>
    <row r="629">
      <c r="G629" s="18"/>
      <c r="H629" s="18"/>
    </row>
    <row r="630">
      <c r="G630" s="18"/>
      <c r="H630" s="18"/>
    </row>
    <row r="631">
      <c r="G631" s="18"/>
      <c r="H631" s="18"/>
    </row>
    <row r="632">
      <c r="G632" s="18"/>
      <c r="H632" s="18"/>
    </row>
    <row r="633">
      <c r="G633" s="18"/>
      <c r="H633" s="18"/>
    </row>
    <row r="634">
      <c r="G634" s="18"/>
      <c r="H634" s="18"/>
    </row>
    <row r="635">
      <c r="G635" s="18"/>
      <c r="H635" s="18"/>
    </row>
    <row r="636">
      <c r="G636" s="18"/>
      <c r="H636" s="18"/>
    </row>
    <row r="637">
      <c r="G637" s="18"/>
      <c r="H637" s="18"/>
    </row>
    <row r="638">
      <c r="G638" s="18"/>
      <c r="H638" s="18"/>
    </row>
    <row r="639">
      <c r="G639" s="18"/>
      <c r="H639" s="18"/>
    </row>
    <row r="640">
      <c r="G640" s="18"/>
      <c r="H640" s="18"/>
    </row>
    <row r="641">
      <c r="G641" s="18"/>
      <c r="H641" s="18"/>
    </row>
    <row r="642">
      <c r="G642" s="18"/>
      <c r="H642" s="18"/>
    </row>
    <row r="643">
      <c r="G643" s="18"/>
      <c r="H643" s="18"/>
    </row>
    <row r="644">
      <c r="G644" s="18"/>
      <c r="H644" s="18"/>
    </row>
    <row r="645">
      <c r="G645" s="18"/>
      <c r="H645" s="18"/>
    </row>
    <row r="646">
      <c r="G646" s="18"/>
      <c r="H646" s="18"/>
    </row>
    <row r="647">
      <c r="G647" s="18"/>
      <c r="H647" s="18"/>
    </row>
    <row r="648">
      <c r="G648" s="18"/>
      <c r="H648" s="18"/>
    </row>
    <row r="649">
      <c r="G649" s="18"/>
      <c r="H649" s="18"/>
    </row>
    <row r="650">
      <c r="G650" s="18"/>
      <c r="H650" s="18"/>
    </row>
    <row r="651">
      <c r="G651" s="18"/>
      <c r="H651" s="18"/>
    </row>
    <row r="652">
      <c r="G652" s="18"/>
      <c r="H652" s="18"/>
    </row>
    <row r="653">
      <c r="G653" s="18"/>
      <c r="H653" s="18"/>
    </row>
    <row r="654">
      <c r="G654" s="18"/>
      <c r="H654" s="18"/>
    </row>
    <row r="655">
      <c r="G655" s="18"/>
      <c r="H655" s="18"/>
    </row>
    <row r="656">
      <c r="G656" s="18"/>
      <c r="H656" s="18"/>
    </row>
    <row r="657">
      <c r="G657" s="18"/>
      <c r="H657" s="18"/>
    </row>
    <row r="658">
      <c r="G658" s="18"/>
      <c r="H658" s="18"/>
    </row>
    <row r="659">
      <c r="G659" s="18"/>
      <c r="H659" s="18"/>
    </row>
    <row r="660">
      <c r="G660" s="18"/>
      <c r="H660" s="18"/>
    </row>
    <row r="661">
      <c r="G661" s="18"/>
      <c r="H661" s="18"/>
    </row>
    <row r="662">
      <c r="G662" s="18"/>
      <c r="H662" s="18"/>
    </row>
    <row r="663">
      <c r="G663" s="18"/>
      <c r="H663" s="18"/>
    </row>
    <row r="664">
      <c r="G664" s="18"/>
      <c r="H664" s="18"/>
    </row>
    <row r="665">
      <c r="G665" s="18"/>
      <c r="H665" s="18"/>
    </row>
    <row r="666">
      <c r="G666" s="18"/>
      <c r="H666" s="18"/>
    </row>
    <row r="667">
      <c r="G667" s="18"/>
      <c r="H667" s="18"/>
    </row>
    <row r="668">
      <c r="G668" s="18"/>
      <c r="H668" s="18"/>
    </row>
    <row r="669">
      <c r="G669" s="18"/>
      <c r="H669" s="18"/>
    </row>
    <row r="670">
      <c r="G670" s="18"/>
      <c r="H670" s="18"/>
    </row>
    <row r="671">
      <c r="G671" s="18"/>
      <c r="H671" s="18"/>
    </row>
    <row r="672">
      <c r="G672" s="18"/>
      <c r="H672" s="18"/>
    </row>
    <row r="673">
      <c r="G673" s="18"/>
      <c r="H673" s="18"/>
    </row>
    <row r="674">
      <c r="G674" s="18"/>
      <c r="H674" s="18"/>
    </row>
    <row r="675">
      <c r="G675" s="18"/>
      <c r="H675" s="18"/>
    </row>
    <row r="676">
      <c r="G676" s="18"/>
      <c r="H676" s="18"/>
    </row>
    <row r="677">
      <c r="G677" s="18"/>
      <c r="H677" s="18"/>
    </row>
    <row r="678">
      <c r="G678" s="18"/>
      <c r="H678" s="18"/>
    </row>
    <row r="679">
      <c r="G679" s="18"/>
      <c r="H679" s="18"/>
    </row>
    <row r="680">
      <c r="G680" s="18"/>
      <c r="H680" s="18"/>
    </row>
    <row r="681">
      <c r="G681" s="18"/>
      <c r="H681" s="18"/>
    </row>
    <row r="682">
      <c r="G682" s="18"/>
      <c r="H682" s="18"/>
    </row>
    <row r="683">
      <c r="G683" s="18"/>
      <c r="H683" s="18"/>
    </row>
    <row r="684">
      <c r="G684" s="18"/>
      <c r="H684" s="18"/>
    </row>
    <row r="685">
      <c r="G685" s="18"/>
      <c r="H685" s="18"/>
    </row>
    <row r="686">
      <c r="G686" s="18"/>
      <c r="H686" s="18"/>
    </row>
    <row r="687">
      <c r="G687" s="18"/>
      <c r="H687" s="18"/>
    </row>
    <row r="688">
      <c r="G688" s="18"/>
      <c r="H688" s="18"/>
    </row>
    <row r="689">
      <c r="G689" s="18"/>
      <c r="H689" s="18"/>
    </row>
    <row r="690">
      <c r="G690" s="18"/>
      <c r="H690" s="18"/>
    </row>
    <row r="691">
      <c r="G691" s="18"/>
      <c r="H691" s="18"/>
    </row>
    <row r="692">
      <c r="G692" s="18"/>
      <c r="H692" s="18"/>
    </row>
    <row r="693">
      <c r="G693" s="18"/>
      <c r="H693" s="18"/>
    </row>
    <row r="694">
      <c r="G694" s="18"/>
      <c r="H694" s="18"/>
    </row>
    <row r="695">
      <c r="G695" s="18"/>
      <c r="H695" s="18"/>
    </row>
    <row r="696">
      <c r="G696" s="18"/>
      <c r="H696" s="18"/>
    </row>
    <row r="697">
      <c r="G697" s="18"/>
      <c r="H697" s="18"/>
    </row>
    <row r="698">
      <c r="G698" s="18"/>
      <c r="H698" s="18"/>
    </row>
    <row r="699">
      <c r="G699" s="18"/>
      <c r="H699" s="18"/>
    </row>
    <row r="700">
      <c r="G700" s="18"/>
      <c r="H700" s="18"/>
    </row>
    <row r="701">
      <c r="G701" s="18"/>
      <c r="H701" s="18"/>
    </row>
    <row r="702">
      <c r="G702" s="18"/>
      <c r="H702" s="18"/>
    </row>
    <row r="703">
      <c r="G703" s="18"/>
      <c r="H703" s="18"/>
    </row>
    <row r="704">
      <c r="G704" s="18"/>
      <c r="H704" s="18"/>
    </row>
    <row r="705">
      <c r="G705" s="18"/>
      <c r="H705" s="18"/>
    </row>
    <row r="706">
      <c r="G706" s="18"/>
      <c r="H706" s="18"/>
    </row>
    <row r="707">
      <c r="G707" s="18"/>
      <c r="H707" s="18"/>
    </row>
    <row r="708">
      <c r="G708" s="18"/>
      <c r="H708" s="18"/>
    </row>
    <row r="709">
      <c r="G709" s="18"/>
      <c r="H709" s="18"/>
    </row>
    <row r="710">
      <c r="G710" s="18"/>
      <c r="H710" s="18"/>
    </row>
    <row r="711">
      <c r="G711" s="18"/>
      <c r="H711" s="18"/>
    </row>
    <row r="712">
      <c r="G712" s="18"/>
      <c r="H712" s="18"/>
    </row>
    <row r="713">
      <c r="G713" s="18"/>
      <c r="H713" s="18"/>
    </row>
    <row r="714">
      <c r="G714" s="18"/>
      <c r="H714" s="18"/>
    </row>
    <row r="715">
      <c r="G715" s="18"/>
      <c r="H715" s="18"/>
    </row>
    <row r="716">
      <c r="G716" s="18"/>
      <c r="H716" s="18"/>
    </row>
    <row r="717">
      <c r="G717" s="18"/>
      <c r="H717" s="18"/>
    </row>
    <row r="718">
      <c r="G718" s="18"/>
      <c r="H718" s="18"/>
    </row>
    <row r="719">
      <c r="G719" s="18"/>
      <c r="H719" s="18"/>
    </row>
    <row r="720">
      <c r="G720" s="18"/>
      <c r="H720" s="18"/>
    </row>
    <row r="721">
      <c r="G721" s="18"/>
      <c r="H721" s="18"/>
    </row>
    <row r="722">
      <c r="G722" s="18"/>
      <c r="H722" s="18"/>
    </row>
    <row r="723">
      <c r="G723" s="18"/>
      <c r="H723" s="18"/>
    </row>
    <row r="724">
      <c r="G724" s="18"/>
      <c r="H724" s="18"/>
    </row>
    <row r="725">
      <c r="G725" s="18"/>
      <c r="H725" s="18"/>
    </row>
    <row r="726">
      <c r="G726" s="18"/>
      <c r="H726" s="18"/>
    </row>
    <row r="727">
      <c r="G727" s="18"/>
      <c r="H727" s="18"/>
    </row>
    <row r="728">
      <c r="G728" s="18"/>
      <c r="H728" s="18"/>
    </row>
    <row r="729">
      <c r="G729" s="18"/>
      <c r="H729" s="18"/>
    </row>
    <row r="730">
      <c r="G730" s="18"/>
      <c r="H730" s="18"/>
    </row>
    <row r="731">
      <c r="G731" s="18"/>
      <c r="H731" s="18"/>
    </row>
    <row r="732">
      <c r="G732" s="18"/>
      <c r="H732" s="18"/>
    </row>
    <row r="733">
      <c r="G733" s="18"/>
      <c r="H733" s="18"/>
    </row>
    <row r="734">
      <c r="G734" s="18"/>
      <c r="H734" s="18"/>
    </row>
    <row r="735">
      <c r="G735" s="18"/>
      <c r="H735" s="18"/>
    </row>
    <row r="736">
      <c r="G736" s="18"/>
      <c r="H736" s="18"/>
    </row>
    <row r="737">
      <c r="G737" s="18"/>
      <c r="H737" s="18"/>
    </row>
    <row r="738">
      <c r="G738" s="18"/>
      <c r="H738" s="18"/>
    </row>
    <row r="739">
      <c r="G739" s="18"/>
      <c r="H739" s="18"/>
    </row>
    <row r="740">
      <c r="G740" s="18"/>
      <c r="H740" s="18"/>
    </row>
    <row r="741">
      <c r="G741" s="18"/>
      <c r="H741" s="18"/>
    </row>
    <row r="742">
      <c r="G742" s="18"/>
      <c r="H742" s="18"/>
    </row>
    <row r="743">
      <c r="G743" s="18"/>
      <c r="H743" s="18"/>
    </row>
    <row r="744">
      <c r="G744" s="18"/>
      <c r="H744" s="18"/>
    </row>
    <row r="745">
      <c r="G745" s="18"/>
      <c r="H745" s="18"/>
    </row>
    <row r="746">
      <c r="G746" s="18"/>
      <c r="H746" s="18"/>
    </row>
    <row r="747">
      <c r="G747" s="18"/>
      <c r="H747" s="18"/>
    </row>
    <row r="748">
      <c r="G748" s="18"/>
      <c r="H748" s="18"/>
    </row>
    <row r="749">
      <c r="G749" s="18"/>
      <c r="H749" s="18"/>
    </row>
    <row r="750">
      <c r="G750" s="18"/>
      <c r="H750" s="18"/>
    </row>
    <row r="751">
      <c r="G751" s="18"/>
      <c r="H751" s="18"/>
    </row>
    <row r="752">
      <c r="G752" s="18"/>
      <c r="H752" s="18"/>
    </row>
    <row r="753">
      <c r="G753" s="18"/>
      <c r="H753" s="18"/>
    </row>
    <row r="754">
      <c r="G754" s="18"/>
      <c r="H754" s="18"/>
    </row>
    <row r="755">
      <c r="G755" s="18"/>
      <c r="H755" s="18"/>
    </row>
    <row r="756">
      <c r="G756" s="18"/>
      <c r="H756" s="18"/>
    </row>
    <row r="757">
      <c r="G757" s="18"/>
      <c r="H757" s="18"/>
    </row>
    <row r="758">
      <c r="G758" s="18"/>
      <c r="H758" s="18"/>
    </row>
    <row r="759">
      <c r="G759" s="18"/>
      <c r="H759" s="18"/>
    </row>
    <row r="760">
      <c r="G760" s="18"/>
      <c r="H760" s="18"/>
    </row>
    <row r="761">
      <c r="G761" s="18"/>
      <c r="H761" s="18"/>
    </row>
    <row r="762">
      <c r="G762" s="18"/>
      <c r="H762" s="18"/>
    </row>
    <row r="763">
      <c r="G763" s="18"/>
      <c r="H763" s="18"/>
    </row>
    <row r="764">
      <c r="G764" s="18"/>
      <c r="H764" s="18"/>
    </row>
    <row r="765">
      <c r="G765" s="18"/>
      <c r="H765" s="18"/>
    </row>
    <row r="766">
      <c r="G766" s="18"/>
      <c r="H766" s="18"/>
    </row>
    <row r="767">
      <c r="G767" s="18"/>
      <c r="H767" s="18"/>
    </row>
    <row r="768">
      <c r="G768" s="18"/>
      <c r="H768" s="18"/>
    </row>
    <row r="769">
      <c r="G769" s="18"/>
      <c r="H769" s="18"/>
    </row>
    <row r="770">
      <c r="G770" s="18"/>
      <c r="H770" s="18"/>
    </row>
    <row r="771">
      <c r="G771" s="18"/>
      <c r="H771" s="18"/>
    </row>
    <row r="772">
      <c r="G772" s="18"/>
      <c r="H772" s="18"/>
    </row>
    <row r="773">
      <c r="G773" s="18"/>
      <c r="H773" s="18"/>
    </row>
    <row r="774">
      <c r="G774" s="18"/>
      <c r="H774" s="18"/>
    </row>
    <row r="775">
      <c r="G775" s="18"/>
      <c r="H775" s="18"/>
    </row>
    <row r="776">
      <c r="G776" s="18"/>
      <c r="H776" s="18"/>
    </row>
    <row r="777">
      <c r="G777" s="18"/>
      <c r="H777" s="18"/>
    </row>
    <row r="778">
      <c r="G778" s="18"/>
      <c r="H778" s="18"/>
    </row>
    <row r="779">
      <c r="G779" s="18"/>
      <c r="H779" s="18"/>
    </row>
    <row r="780">
      <c r="G780" s="18"/>
      <c r="H780" s="18"/>
    </row>
    <row r="781">
      <c r="G781" s="18"/>
      <c r="H781" s="18"/>
    </row>
    <row r="782">
      <c r="G782" s="18"/>
      <c r="H782" s="18"/>
    </row>
    <row r="783">
      <c r="G783" s="18"/>
      <c r="H783" s="18"/>
    </row>
    <row r="784">
      <c r="G784" s="18"/>
      <c r="H784" s="18"/>
    </row>
    <row r="785">
      <c r="G785" s="18"/>
      <c r="H785" s="18"/>
    </row>
    <row r="786">
      <c r="G786" s="18"/>
      <c r="H786" s="18"/>
    </row>
    <row r="787">
      <c r="G787" s="18"/>
      <c r="H787" s="18"/>
    </row>
    <row r="788">
      <c r="G788" s="18"/>
      <c r="H788" s="18"/>
    </row>
    <row r="789">
      <c r="G789" s="18"/>
      <c r="H789" s="18"/>
    </row>
    <row r="790">
      <c r="G790" s="18"/>
      <c r="H790" s="18"/>
    </row>
    <row r="791">
      <c r="G791" s="18"/>
      <c r="H791" s="18"/>
    </row>
    <row r="792">
      <c r="G792" s="18"/>
      <c r="H792" s="18"/>
    </row>
    <row r="793">
      <c r="G793" s="18"/>
      <c r="H793" s="18"/>
    </row>
    <row r="794">
      <c r="G794" s="18"/>
      <c r="H794" s="18"/>
    </row>
    <row r="795">
      <c r="G795" s="18"/>
      <c r="H795" s="18"/>
    </row>
    <row r="796">
      <c r="G796" s="18"/>
      <c r="H796" s="18"/>
    </row>
    <row r="797">
      <c r="G797" s="18"/>
      <c r="H797" s="18"/>
    </row>
    <row r="798">
      <c r="G798" s="18"/>
      <c r="H798" s="18"/>
    </row>
    <row r="799">
      <c r="G799" s="18"/>
      <c r="H799" s="18"/>
    </row>
    <row r="800">
      <c r="G800" s="18"/>
      <c r="H800" s="18"/>
    </row>
    <row r="801">
      <c r="G801" s="18"/>
      <c r="H801" s="18"/>
    </row>
    <row r="802">
      <c r="G802" s="18"/>
      <c r="H802" s="18"/>
    </row>
    <row r="803">
      <c r="G803" s="18"/>
      <c r="H803" s="18"/>
    </row>
    <row r="804">
      <c r="G804" s="18"/>
      <c r="H804" s="18"/>
    </row>
    <row r="805">
      <c r="G805" s="18"/>
      <c r="H805" s="18"/>
    </row>
    <row r="806">
      <c r="G806" s="18"/>
      <c r="H806" s="18"/>
    </row>
    <row r="807">
      <c r="G807" s="18"/>
      <c r="H807" s="18"/>
    </row>
    <row r="808">
      <c r="G808" s="18"/>
      <c r="H808" s="18"/>
    </row>
    <row r="809">
      <c r="G809" s="18"/>
      <c r="H809" s="18"/>
    </row>
    <row r="810">
      <c r="G810" s="18"/>
      <c r="H810" s="18"/>
    </row>
    <row r="811">
      <c r="G811" s="18"/>
      <c r="H811" s="18"/>
    </row>
    <row r="812">
      <c r="G812" s="18"/>
      <c r="H812" s="18"/>
    </row>
    <row r="813">
      <c r="G813" s="18"/>
      <c r="H813" s="18"/>
    </row>
    <row r="814">
      <c r="G814" s="18"/>
      <c r="H814" s="18"/>
    </row>
    <row r="815">
      <c r="G815" s="18"/>
      <c r="H815" s="18"/>
    </row>
    <row r="816">
      <c r="G816" s="18"/>
      <c r="H816" s="18"/>
    </row>
    <row r="817">
      <c r="G817" s="18"/>
      <c r="H817" s="18"/>
    </row>
    <row r="818">
      <c r="G818" s="18"/>
      <c r="H818" s="18"/>
    </row>
    <row r="819">
      <c r="G819" s="18"/>
      <c r="H819" s="18"/>
    </row>
    <row r="820">
      <c r="G820" s="18"/>
      <c r="H820" s="18"/>
    </row>
    <row r="821">
      <c r="G821" s="18"/>
      <c r="H821" s="18"/>
    </row>
    <row r="822">
      <c r="G822" s="18"/>
      <c r="H822" s="18"/>
    </row>
    <row r="823">
      <c r="G823" s="18"/>
      <c r="H823" s="18"/>
    </row>
    <row r="824">
      <c r="G824" s="18"/>
      <c r="H824" s="18"/>
    </row>
    <row r="825">
      <c r="G825" s="18"/>
      <c r="H825" s="18"/>
    </row>
    <row r="826">
      <c r="G826" s="18"/>
      <c r="H826" s="18"/>
    </row>
    <row r="827">
      <c r="G827" s="18"/>
      <c r="H827" s="18"/>
    </row>
    <row r="828">
      <c r="G828" s="18"/>
      <c r="H828" s="18"/>
    </row>
    <row r="829">
      <c r="G829" s="18"/>
      <c r="H829" s="18"/>
    </row>
    <row r="830">
      <c r="G830" s="18"/>
      <c r="H830" s="18"/>
    </row>
    <row r="831">
      <c r="G831" s="18"/>
      <c r="H831" s="18"/>
    </row>
    <row r="832">
      <c r="G832" s="18"/>
      <c r="H832" s="18"/>
    </row>
    <row r="833">
      <c r="G833" s="18"/>
      <c r="H833" s="18"/>
    </row>
    <row r="834">
      <c r="G834" s="18"/>
      <c r="H834" s="18"/>
    </row>
    <row r="835">
      <c r="G835" s="18"/>
      <c r="H835" s="18"/>
    </row>
    <row r="836">
      <c r="G836" s="18"/>
      <c r="H836" s="18"/>
    </row>
    <row r="837">
      <c r="G837" s="18"/>
      <c r="H837" s="18"/>
    </row>
    <row r="838">
      <c r="G838" s="18"/>
      <c r="H838" s="18"/>
    </row>
    <row r="839">
      <c r="G839" s="18"/>
      <c r="H839" s="18"/>
    </row>
    <row r="840">
      <c r="G840" s="18"/>
      <c r="H840" s="18"/>
    </row>
    <row r="841">
      <c r="G841" s="18"/>
      <c r="H841" s="18"/>
    </row>
    <row r="842">
      <c r="G842" s="18"/>
      <c r="H842" s="18"/>
    </row>
    <row r="843">
      <c r="G843" s="18"/>
      <c r="H843" s="18"/>
    </row>
    <row r="844">
      <c r="G844" s="18"/>
      <c r="H844" s="18"/>
    </row>
    <row r="845">
      <c r="G845" s="18"/>
      <c r="H845" s="18"/>
    </row>
    <row r="846">
      <c r="G846" s="18"/>
      <c r="H846" s="18"/>
    </row>
    <row r="847">
      <c r="G847" s="18"/>
      <c r="H847" s="18"/>
    </row>
    <row r="848">
      <c r="G848" s="18"/>
      <c r="H848" s="18"/>
    </row>
    <row r="849">
      <c r="G849" s="18"/>
      <c r="H849" s="18"/>
    </row>
    <row r="850">
      <c r="G850" s="18"/>
      <c r="H850" s="18"/>
    </row>
    <row r="851">
      <c r="G851" s="18"/>
      <c r="H851" s="18"/>
    </row>
    <row r="852">
      <c r="G852" s="18"/>
      <c r="H852" s="18"/>
    </row>
    <row r="853">
      <c r="G853" s="18"/>
      <c r="H853" s="18"/>
    </row>
    <row r="854">
      <c r="G854" s="18"/>
      <c r="H854" s="18"/>
    </row>
    <row r="855">
      <c r="G855" s="18"/>
      <c r="H855" s="18"/>
    </row>
    <row r="856">
      <c r="G856" s="18"/>
      <c r="H856" s="18"/>
    </row>
    <row r="857">
      <c r="G857" s="18"/>
      <c r="H857" s="18"/>
    </row>
    <row r="858">
      <c r="G858" s="18"/>
      <c r="H858" s="18"/>
    </row>
    <row r="859">
      <c r="G859" s="18"/>
      <c r="H859" s="18"/>
    </row>
    <row r="860">
      <c r="G860" s="18"/>
      <c r="H860" s="18"/>
    </row>
    <row r="861">
      <c r="G861" s="18"/>
      <c r="H861" s="18"/>
    </row>
    <row r="862">
      <c r="G862" s="18"/>
      <c r="H862" s="18"/>
    </row>
    <row r="863">
      <c r="G863" s="18"/>
      <c r="H863" s="18"/>
    </row>
    <row r="864">
      <c r="G864" s="18"/>
      <c r="H864" s="18"/>
    </row>
    <row r="865">
      <c r="G865" s="18"/>
      <c r="H865" s="18"/>
    </row>
    <row r="866">
      <c r="G866" s="18"/>
      <c r="H866" s="18"/>
    </row>
    <row r="867">
      <c r="G867" s="18"/>
      <c r="H867" s="18"/>
    </row>
    <row r="868">
      <c r="G868" s="18"/>
      <c r="H868" s="18"/>
    </row>
    <row r="869">
      <c r="G869" s="18"/>
      <c r="H869" s="18"/>
    </row>
    <row r="870">
      <c r="G870" s="18"/>
      <c r="H870" s="18"/>
    </row>
    <row r="871">
      <c r="G871" s="18"/>
      <c r="H871" s="18"/>
    </row>
    <row r="872">
      <c r="G872" s="18"/>
      <c r="H872" s="18"/>
    </row>
    <row r="873">
      <c r="G873" s="18"/>
      <c r="H873" s="18"/>
    </row>
    <row r="874">
      <c r="G874" s="18"/>
      <c r="H874" s="18"/>
    </row>
    <row r="875">
      <c r="G875" s="18"/>
      <c r="H875" s="18"/>
    </row>
    <row r="876">
      <c r="G876" s="18"/>
      <c r="H876" s="18"/>
    </row>
    <row r="877">
      <c r="G877" s="18"/>
      <c r="H877" s="18"/>
    </row>
    <row r="878">
      <c r="G878" s="18"/>
      <c r="H878" s="18"/>
    </row>
    <row r="879">
      <c r="G879" s="18"/>
      <c r="H879" s="18"/>
    </row>
    <row r="880">
      <c r="G880" s="18"/>
      <c r="H880" s="18"/>
    </row>
    <row r="881">
      <c r="G881" s="18"/>
      <c r="H881" s="18"/>
    </row>
    <row r="882">
      <c r="G882" s="18"/>
      <c r="H882" s="18"/>
    </row>
    <row r="883">
      <c r="G883" s="18"/>
      <c r="H883" s="18"/>
    </row>
    <row r="884">
      <c r="G884" s="18"/>
      <c r="H884" s="18"/>
    </row>
    <row r="885">
      <c r="G885" s="18"/>
      <c r="H885" s="18"/>
    </row>
    <row r="886">
      <c r="G886" s="18"/>
      <c r="H886" s="18"/>
    </row>
    <row r="887">
      <c r="G887" s="18"/>
      <c r="H887" s="18"/>
    </row>
    <row r="888">
      <c r="G888" s="18"/>
      <c r="H888" s="18"/>
    </row>
    <row r="889">
      <c r="G889" s="18"/>
      <c r="H889" s="18"/>
    </row>
    <row r="890">
      <c r="G890" s="18"/>
      <c r="H890" s="18"/>
    </row>
    <row r="891">
      <c r="G891" s="18"/>
      <c r="H891" s="18"/>
    </row>
    <row r="892">
      <c r="G892" s="18"/>
      <c r="H892" s="18"/>
    </row>
    <row r="893">
      <c r="G893" s="18"/>
      <c r="H893" s="18"/>
    </row>
    <row r="894">
      <c r="G894" s="18"/>
      <c r="H894" s="18"/>
    </row>
    <row r="895">
      <c r="G895" s="18"/>
      <c r="H895" s="18"/>
    </row>
    <row r="896">
      <c r="G896" s="18"/>
      <c r="H896" s="18"/>
    </row>
    <row r="897">
      <c r="G897" s="18"/>
      <c r="H897" s="18"/>
    </row>
    <row r="898">
      <c r="G898" s="18"/>
      <c r="H898" s="18"/>
    </row>
    <row r="899">
      <c r="G899" s="18"/>
      <c r="H899" s="18"/>
    </row>
    <row r="900">
      <c r="G900" s="18"/>
      <c r="H900" s="18"/>
    </row>
    <row r="901">
      <c r="G901" s="18"/>
      <c r="H901" s="18"/>
    </row>
    <row r="902">
      <c r="G902" s="18"/>
      <c r="H902" s="18"/>
    </row>
    <row r="903">
      <c r="G903" s="18"/>
      <c r="H903" s="18"/>
    </row>
    <row r="904">
      <c r="G904" s="18"/>
      <c r="H904" s="18"/>
    </row>
    <row r="905">
      <c r="G905" s="18"/>
      <c r="H905" s="18"/>
    </row>
    <row r="906">
      <c r="G906" s="18"/>
      <c r="H906" s="18"/>
    </row>
    <row r="907">
      <c r="G907" s="18"/>
      <c r="H907" s="18"/>
    </row>
    <row r="908">
      <c r="G908" s="18"/>
      <c r="H908" s="18"/>
    </row>
    <row r="909">
      <c r="G909" s="18"/>
      <c r="H909" s="18"/>
    </row>
    <row r="910">
      <c r="G910" s="18"/>
      <c r="H910" s="18"/>
    </row>
    <row r="911">
      <c r="G911" s="18"/>
      <c r="H911" s="18"/>
    </row>
    <row r="912">
      <c r="G912" s="18"/>
      <c r="H912" s="18"/>
    </row>
    <row r="913">
      <c r="G913" s="18"/>
      <c r="H913" s="18"/>
    </row>
    <row r="914">
      <c r="G914" s="18"/>
      <c r="H914" s="18"/>
    </row>
    <row r="915">
      <c r="G915" s="18"/>
      <c r="H915" s="18"/>
    </row>
    <row r="916">
      <c r="G916" s="18"/>
      <c r="H916" s="18"/>
    </row>
    <row r="917">
      <c r="G917" s="18"/>
      <c r="H917" s="18"/>
    </row>
    <row r="918">
      <c r="G918" s="18"/>
      <c r="H918" s="18"/>
    </row>
    <row r="919">
      <c r="G919" s="18"/>
      <c r="H919" s="18"/>
    </row>
    <row r="920">
      <c r="G920" s="18"/>
      <c r="H920" s="18"/>
    </row>
    <row r="921">
      <c r="G921" s="18"/>
      <c r="H921" s="18"/>
    </row>
    <row r="922">
      <c r="G922" s="18"/>
      <c r="H922" s="18"/>
    </row>
    <row r="923">
      <c r="G923" s="18"/>
      <c r="H923" s="18"/>
    </row>
    <row r="924">
      <c r="G924" s="18"/>
      <c r="H924" s="18"/>
    </row>
    <row r="925">
      <c r="G925" s="18"/>
      <c r="H925" s="18"/>
    </row>
    <row r="926">
      <c r="G926" s="18"/>
      <c r="H926" s="18"/>
    </row>
    <row r="927">
      <c r="G927" s="18"/>
      <c r="H927" s="18"/>
    </row>
    <row r="928">
      <c r="G928" s="18"/>
      <c r="H928" s="18"/>
    </row>
    <row r="929">
      <c r="G929" s="18"/>
      <c r="H929" s="18"/>
    </row>
    <row r="930">
      <c r="G930" s="18"/>
      <c r="H930" s="18"/>
    </row>
    <row r="931">
      <c r="G931" s="18"/>
      <c r="H931" s="18"/>
    </row>
    <row r="932">
      <c r="G932" s="18"/>
      <c r="H932" s="18"/>
    </row>
    <row r="933">
      <c r="G933" s="18"/>
      <c r="H933" s="18"/>
    </row>
    <row r="934">
      <c r="G934" s="18"/>
      <c r="H934" s="18"/>
    </row>
    <row r="935">
      <c r="G935" s="18"/>
      <c r="H935" s="18"/>
    </row>
    <row r="936">
      <c r="G936" s="18"/>
      <c r="H936" s="18"/>
    </row>
    <row r="937">
      <c r="G937" s="18"/>
      <c r="H937" s="18"/>
    </row>
    <row r="938">
      <c r="G938" s="18"/>
      <c r="H938" s="18"/>
    </row>
    <row r="939">
      <c r="G939" s="18"/>
      <c r="H939" s="18"/>
    </row>
    <row r="940">
      <c r="G940" s="18"/>
      <c r="H940" s="18"/>
    </row>
    <row r="941">
      <c r="G941" s="18"/>
      <c r="H941" s="18"/>
    </row>
    <row r="942">
      <c r="G942" s="18"/>
      <c r="H942" s="18"/>
    </row>
    <row r="943">
      <c r="G943" s="18"/>
      <c r="H943" s="18"/>
    </row>
    <row r="944">
      <c r="G944" s="18"/>
      <c r="H944" s="18"/>
    </row>
    <row r="945">
      <c r="G945" s="18"/>
      <c r="H945" s="18"/>
    </row>
    <row r="946">
      <c r="G946" s="18"/>
      <c r="H946" s="18"/>
    </row>
    <row r="947">
      <c r="G947" s="18"/>
      <c r="H947" s="18"/>
    </row>
    <row r="948">
      <c r="G948" s="18"/>
      <c r="H948" s="18"/>
    </row>
    <row r="949">
      <c r="G949" s="18"/>
      <c r="H949" s="18"/>
    </row>
    <row r="950">
      <c r="G950" s="18"/>
      <c r="H950" s="18"/>
    </row>
    <row r="951">
      <c r="G951" s="18"/>
      <c r="H951" s="18"/>
    </row>
    <row r="952">
      <c r="G952" s="18"/>
      <c r="H952" s="18"/>
    </row>
    <row r="953">
      <c r="G953" s="18"/>
      <c r="H953" s="18"/>
    </row>
    <row r="954">
      <c r="G954" s="18"/>
      <c r="H954" s="18"/>
    </row>
    <row r="955">
      <c r="G955" s="18"/>
      <c r="H955" s="18"/>
    </row>
    <row r="956">
      <c r="G956" s="18"/>
      <c r="H956" s="18"/>
    </row>
    <row r="957">
      <c r="G957" s="18"/>
      <c r="H957" s="18"/>
    </row>
    <row r="958">
      <c r="G958" s="18"/>
      <c r="H958" s="18"/>
    </row>
    <row r="959">
      <c r="G959" s="18"/>
      <c r="H959" s="18"/>
    </row>
    <row r="960">
      <c r="G960" s="18"/>
      <c r="H960" s="18"/>
    </row>
    <row r="961">
      <c r="G961" s="18"/>
      <c r="H961" s="18"/>
    </row>
    <row r="962">
      <c r="G962" s="18"/>
      <c r="H962" s="18"/>
    </row>
    <row r="963">
      <c r="G963" s="18"/>
      <c r="H963" s="18"/>
    </row>
    <row r="964">
      <c r="G964" s="18"/>
      <c r="H964" s="18"/>
    </row>
    <row r="965">
      <c r="G965" s="18"/>
      <c r="H965" s="18"/>
    </row>
    <row r="966">
      <c r="G966" s="18"/>
      <c r="H966" s="18"/>
    </row>
    <row r="967">
      <c r="G967" s="18"/>
      <c r="H967" s="18"/>
    </row>
    <row r="968">
      <c r="G968" s="18"/>
      <c r="H968" s="18"/>
    </row>
    <row r="969">
      <c r="G969" s="18"/>
      <c r="H969" s="18"/>
    </row>
    <row r="970">
      <c r="G970" s="18"/>
      <c r="H970" s="18"/>
    </row>
    <row r="971">
      <c r="G971" s="18"/>
      <c r="H971" s="18"/>
    </row>
    <row r="972">
      <c r="G972" s="18"/>
      <c r="H972" s="18"/>
    </row>
    <row r="973">
      <c r="G973" s="18"/>
      <c r="H973" s="18"/>
    </row>
    <row r="974">
      <c r="G974" s="18"/>
      <c r="H974" s="18"/>
    </row>
    <row r="975">
      <c r="G975" s="18"/>
      <c r="H975" s="18"/>
    </row>
    <row r="976">
      <c r="G976" s="18"/>
      <c r="H976" s="18"/>
    </row>
    <row r="977">
      <c r="G977" s="18"/>
      <c r="H977" s="18"/>
    </row>
    <row r="978">
      <c r="G978" s="18"/>
      <c r="H978" s="18"/>
    </row>
    <row r="979">
      <c r="G979" s="18"/>
      <c r="H979" s="18"/>
    </row>
    <row r="980">
      <c r="G980" s="18"/>
      <c r="H980" s="18"/>
    </row>
    <row r="981">
      <c r="G981" s="18"/>
      <c r="H981" s="18"/>
    </row>
    <row r="982">
      <c r="G982" s="18"/>
      <c r="H982" s="18"/>
    </row>
    <row r="983">
      <c r="G983" s="18"/>
      <c r="H983" s="18"/>
    </row>
    <row r="984">
      <c r="G984" s="18"/>
      <c r="H984" s="18"/>
    </row>
    <row r="985">
      <c r="G985" s="18"/>
      <c r="H985" s="18"/>
    </row>
    <row r="986">
      <c r="G986" s="18"/>
      <c r="H986" s="18"/>
    </row>
    <row r="987">
      <c r="G987" s="18"/>
      <c r="H987" s="18"/>
    </row>
    <row r="988">
      <c r="G988" s="18"/>
      <c r="H988" s="18"/>
    </row>
    <row r="989">
      <c r="G989" s="18"/>
      <c r="H989" s="18"/>
    </row>
    <row r="990">
      <c r="G990" s="18"/>
      <c r="H990" s="18"/>
    </row>
    <row r="991">
      <c r="G991" s="18"/>
      <c r="H991" s="18"/>
    </row>
    <row r="992">
      <c r="G992" s="18"/>
      <c r="H992" s="18"/>
    </row>
    <row r="993">
      <c r="G993" s="18"/>
      <c r="H993" s="18"/>
    </row>
    <row r="994">
      <c r="G994" s="18"/>
      <c r="H994" s="18"/>
    </row>
    <row r="995">
      <c r="G995" s="18"/>
      <c r="H995" s="18"/>
    </row>
    <row r="996">
      <c r="G996" s="18"/>
      <c r="H996" s="18"/>
    </row>
    <row r="997">
      <c r="G997" s="18"/>
      <c r="H997" s="18"/>
    </row>
    <row r="998">
      <c r="G998" s="18"/>
      <c r="H998" s="18"/>
    </row>
  </sheetData>
  <mergeCells count="1">
    <mergeCell ref="A1:X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44" t="s">
        <v>85</v>
      </c>
      <c r="B1" s="44" t="s">
        <v>86</v>
      </c>
    </row>
    <row r="24">
      <c r="A24" s="44" t="s">
        <v>87</v>
      </c>
      <c r="B24" s="44" t="s">
        <v>88</v>
      </c>
    </row>
    <row r="50">
      <c r="A50" s="44" t="s">
        <v>85</v>
      </c>
      <c r="B50" s="44" t="s">
        <v>89</v>
      </c>
    </row>
    <row r="76">
      <c r="A76" s="44" t="s">
        <v>85</v>
      </c>
      <c r="B76" s="44" t="s">
        <v>90</v>
      </c>
      <c r="C76" s="43" t="s">
        <v>91</v>
      </c>
    </row>
    <row r="130">
      <c r="A130" s="44" t="s">
        <v>92</v>
      </c>
      <c r="B130" s="44" t="s">
        <v>93</v>
      </c>
    </row>
    <row r="157">
      <c r="A157" s="44" t="s">
        <v>94</v>
      </c>
      <c r="B157" s="44" t="s">
        <v>95</v>
      </c>
    </row>
    <row r="186">
      <c r="A186" s="45" t="s">
        <v>96</v>
      </c>
      <c r="B186" s="45" t="s">
        <v>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4.63"/>
  </cols>
  <sheetData>
    <row r="1">
      <c r="A1" s="46" t="s">
        <v>98</v>
      </c>
    </row>
    <row r="2">
      <c r="A2" s="47" t="s">
        <v>99</v>
      </c>
    </row>
    <row r="3">
      <c r="A3" s="48" t="s">
        <v>100</v>
      </c>
      <c r="I3" s="49"/>
      <c r="J3" s="49" t="s">
        <v>101</v>
      </c>
      <c r="K3" s="49" t="s">
        <v>102</v>
      </c>
    </row>
    <row r="4">
      <c r="A4" s="48" t="s">
        <v>103</v>
      </c>
      <c r="I4" s="49" t="s">
        <v>104</v>
      </c>
      <c r="J4" s="50">
        <v>75.0</v>
      </c>
      <c r="K4" s="50">
        <v>16.0</v>
      </c>
    </row>
    <row r="5">
      <c r="A5" s="48" t="s">
        <v>105</v>
      </c>
      <c r="I5" s="49" t="s">
        <v>106</v>
      </c>
      <c r="J5" s="50">
        <v>68.0</v>
      </c>
      <c r="K5" s="50">
        <v>16.0</v>
      </c>
    </row>
    <row r="6">
      <c r="A6" s="51" t="s">
        <v>107</v>
      </c>
      <c r="I6" s="49" t="s">
        <v>108</v>
      </c>
      <c r="J6" s="50">
        <v>70.59</v>
      </c>
      <c r="K6" s="50">
        <v>12.5</v>
      </c>
    </row>
    <row r="7">
      <c r="A7" s="48" t="s">
        <v>109</v>
      </c>
      <c r="I7" s="49" t="s">
        <v>110</v>
      </c>
      <c r="J7" s="50">
        <v>72.0</v>
      </c>
      <c r="K7" s="50">
        <v>16.0</v>
      </c>
    </row>
    <row r="8">
      <c r="A8" s="48" t="s">
        <v>111</v>
      </c>
    </row>
    <row r="9">
      <c r="A9" s="49"/>
    </row>
    <row r="10">
      <c r="A10" s="47" t="s">
        <v>112</v>
      </c>
    </row>
    <row r="11">
      <c r="A11" s="48" t="s">
        <v>113</v>
      </c>
      <c r="I11" s="43" t="s">
        <v>114</v>
      </c>
      <c r="K11" s="43" t="s">
        <v>115</v>
      </c>
      <c r="M11" s="43" t="s">
        <v>116</v>
      </c>
    </row>
    <row r="12">
      <c r="A12" s="48" t="s">
        <v>117</v>
      </c>
    </row>
    <row r="13">
      <c r="A13" s="48" t="s">
        <v>118</v>
      </c>
      <c r="I13" s="43">
        <v>44.0</v>
      </c>
      <c r="K13" s="43">
        <v>32.0</v>
      </c>
      <c r="M13" s="52">
        <v>0.7273</v>
      </c>
    </row>
    <row r="14">
      <c r="A14" s="48" t="s">
        <v>119</v>
      </c>
    </row>
    <row r="15">
      <c r="A15" s="48" t="s">
        <v>120</v>
      </c>
    </row>
    <row r="16">
      <c r="A16" s="49"/>
      <c r="J16" s="43" t="s">
        <v>121</v>
      </c>
      <c r="L16" s="43" t="s">
        <v>122</v>
      </c>
      <c r="N16" s="43" t="s">
        <v>123</v>
      </c>
    </row>
    <row r="17">
      <c r="A17" s="47" t="s">
        <v>124</v>
      </c>
    </row>
    <row r="18">
      <c r="A18" s="48" t="s">
        <v>125</v>
      </c>
      <c r="J18" s="43">
        <v>14.0</v>
      </c>
      <c r="L18" s="43">
        <v>12.0</v>
      </c>
      <c r="N18" s="52">
        <v>0.1667</v>
      </c>
    </row>
    <row r="19">
      <c r="A19" s="48" t="s">
        <v>126</v>
      </c>
    </row>
    <row r="20">
      <c r="A20" s="51" t="s">
        <v>127</v>
      </c>
    </row>
    <row r="21">
      <c r="A21" s="48" t="s">
        <v>128</v>
      </c>
    </row>
    <row r="22">
      <c r="A22" s="48" t="s">
        <v>129</v>
      </c>
    </row>
    <row r="23">
      <c r="A23" s="48" t="s">
        <v>130</v>
      </c>
    </row>
    <row r="24">
      <c r="A24" s="49"/>
    </row>
    <row r="25">
      <c r="A25" s="47" t="s">
        <v>131</v>
      </c>
    </row>
    <row r="26">
      <c r="A26" s="53" t="s">
        <v>132</v>
      </c>
    </row>
    <row r="27">
      <c r="A27" s="48" t="s">
        <v>133</v>
      </c>
    </row>
    <row r="28">
      <c r="A28" s="48" t="s">
        <v>134</v>
      </c>
    </row>
    <row r="29">
      <c r="A29" s="48" t="s">
        <v>135</v>
      </c>
    </row>
    <row r="30">
      <c r="A30" s="48" t="s">
        <v>136</v>
      </c>
    </row>
    <row r="31">
      <c r="A31" s="48" t="s">
        <v>137</v>
      </c>
    </row>
    <row r="32">
      <c r="A32" s="48" t="s">
        <v>138</v>
      </c>
    </row>
    <row r="33">
      <c r="A33" s="48" t="s">
        <v>139</v>
      </c>
    </row>
    <row r="35">
      <c r="A35" s="54" t="s">
        <v>140</v>
      </c>
    </row>
    <row r="36">
      <c r="A36" s="43" t="s">
        <v>141</v>
      </c>
    </row>
    <row r="37">
      <c r="A37" s="43" t="s">
        <v>142</v>
      </c>
    </row>
    <row r="38">
      <c r="A38" s="43" t="s">
        <v>143</v>
      </c>
    </row>
    <row r="39">
      <c r="A39" s="43" t="s">
        <v>144</v>
      </c>
    </row>
    <row r="40">
      <c r="A40" s="43" t="s">
        <v>145</v>
      </c>
    </row>
    <row r="42">
      <c r="A42" s="54" t="s">
        <v>146</v>
      </c>
    </row>
    <row r="43">
      <c r="A43" s="55" t="s">
        <v>147</v>
      </c>
    </row>
    <row r="44">
      <c r="A44" s="49" t="s">
        <v>148</v>
      </c>
    </row>
    <row r="45">
      <c r="A45" s="49" t="s">
        <v>149</v>
      </c>
    </row>
    <row r="46">
      <c r="A46" s="56" t="s">
        <v>150</v>
      </c>
    </row>
    <row r="47">
      <c r="A47" s="49" t="s">
        <v>151</v>
      </c>
    </row>
    <row r="48">
      <c r="A48" s="49" t="s">
        <v>152</v>
      </c>
    </row>
    <row r="49">
      <c r="A49" s="57" t="s">
        <v>153</v>
      </c>
    </row>
    <row r="50">
      <c r="A50" s="49" t="s">
        <v>154</v>
      </c>
      <c r="I50" s="43" t="s">
        <v>114</v>
      </c>
      <c r="K50" s="43" t="s">
        <v>115</v>
      </c>
      <c r="M50" s="43" t="s">
        <v>116</v>
      </c>
    </row>
    <row r="51">
      <c r="A51" s="49" t="s">
        <v>155</v>
      </c>
    </row>
    <row r="52">
      <c r="A52" s="49" t="s">
        <v>156</v>
      </c>
      <c r="I52" s="43">
        <v>30.0</v>
      </c>
      <c r="K52" s="43">
        <v>23.0</v>
      </c>
      <c r="M52" s="52">
        <v>0.7667</v>
      </c>
    </row>
    <row r="54">
      <c r="A54" s="55" t="s">
        <v>157</v>
      </c>
    </row>
    <row r="55">
      <c r="A55" s="49" t="s">
        <v>158</v>
      </c>
    </row>
    <row r="56">
      <c r="A56" s="49" t="s">
        <v>159</v>
      </c>
    </row>
    <row r="57">
      <c r="A57" s="49" t="s">
        <v>160</v>
      </c>
    </row>
    <row r="58">
      <c r="A58" s="56" t="s">
        <v>161</v>
      </c>
    </row>
    <row r="59">
      <c r="A59" s="49" t="s">
        <v>162</v>
      </c>
    </row>
    <row r="60">
      <c r="A60" s="49" t="s">
        <v>163</v>
      </c>
    </row>
    <row r="61">
      <c r="A61" s="49" t="s">
        <v>164</v>
      </c>
      <c r="J61" s="43" t="s">
        <v>121</v>
      </c>
      <c r="L61" s="43" t="s">
        <v>122</v>
      </c>
      <c r="N61" s="43" t="s">
        <v>123</v>
      </c>
    </row>
    <row r="62">
      <c r="A62" s="56" t="s">
        <v>165</v>
      </c>
    </row>
    <row r="63">
      <c r="J63" s="43">
        <v>14.0</v>
      </c>
      <c r="L63" s="43">
        <v>20.0</v>
      </c>
      <c r="N63" s="52">
        <v>0.3333</v>
      </c>
    </row>
    <row r="64">
      <c r="A64" s="55" t="s">
        <v>166</v>
      </c>
    </row>
    <row r="65">
      <c r="A65" s="58">
        <v>1.0</v>
      </c>
      <c r="B65" s="49" t="s">
        <v>167</v>
      </c>
    </row>
    <row r="66">
      <c r="A66" s="58">
        <v>2.0</v>
      </c>
      <c r="B66" s="49" t="s">
        <v>168</v>
      </c>
    </row>
    <row r="67">
      <c r="A67" s="58">
        <v>3.0</v>
      </c>
      <c r="B67" s="49" t="s">
        <v>169</v>
      </c>
    </row>
    <row r="68">
      <c r="A68" s="58">
        <v>4.0</v>
      </c>
      <c r="B68" s="49" t="s">
        <v>170</v>
      </c>
    </row>
    <row r="69">
      <c r="A69" s="58">
        <v>5.0</v>
      </c>
      <c r="B69" s="49" t="s">
        <v>171</v>
      </c>
    </row>
    <row r="70">
      <c r="A70" s="58">
        <v>6.0</v>
      </c>
      <c r="B70" s="49" t="s">
        <v>172</v>
      </c>
    </row>
    <row r="71">
      <c r="A71" s="58">
        <v>7.0</v>
      </c>
      <c r="B71" s="49" t="s">
        <v>173</v>
      </c>
    </row>
    <row r="72">
      <c r="A72" s="58">
        <v>8.0</v>
      </c>
      <c r="B72" s="49"/>
    </row>
    <row r="73">
      <c r="A73" s="58">
        <v>9.0</v>
      </c>
      <c r="B73" s="49" t="s">
        <v>174</v>
      </c>
    </row>
    <row r="74">
      <c r="A74" s="59">
        <v>11.0</v>
      </c>
      <c r="B74" s="49" t="s">
        <v>175</v>
      </c>
      <c r="C74" s="49"/>
      <c r="D74" s="49"/>
      <c r="E74" s="49"/>
      <c r="F74" s="49"/>
    </row>
    <row r="76">
      <c r="A76" s="54" t="s">
        <v>176</v>
      </c>
    </row>
    <row r="77">
      <c r="A77" s="55" t="s">
        <v>147</v>
      </c>
      <c r="G77" s="49"/>
      <c r="H77" s="49"/>
      <c r="I77" s="49"/>
      <c r="J77" s="49"/>
    </row>
    <row r="78">
      <c r="A78" s="49" t="s">
        <v>177</v>
      </c>
      <c r="G78" s="49" t="s">
        <v>178</v>
      </c>
      <c r="H78" s="49"/>
      <c r="I78" s="49"/>
      <c r="J78" s="49"/>
    </row>
    <row r="79">
      <c r="A79" s="49" t="s">
        <v>179</v>
      </c>
      <c r="G79" s="60">
        <v>0.35</v>
      </c>
      <c r="H79" s="60">
        <v>0.44</v>
      </c>
      <c r="I79" s="60">
        <v>0.7</v>
      </c>
      <c r="J79" s="61">
        <v>0.695</v>
      </c>
    </row>
    <row r="80">
      <c r="A80" s="49" t="s">
        <v>180</v>
      </c>
      <c r="G80" s="49"/>
      <c r="H80" s="49"/>
      <c r="I80" s="49"/>
      <c r="J80" s="49"/>
    </row>
    <row r="81">
      <c r="A81" s="56" t="s">
        <v>181</v>
      </c>
      <c r="G81" s="62" t="s">
        <v>182</v>
      </c>
      <c r="N81" s="62" t="s">
        <v>182</v>
      </c>
    </row>
    <row r="82">
      <c r="A82" s="49" t="s">
        <v>183</v>
      </c>
    </row>
    <row r="83">
      <c r="A83" s="49" t="s">
        <v>184</v>
      </c>
      <c r="G83" s="63" t="s">
        <v>1</v>
      </c>
      <c r="H83" s="63" t="s">
        <v>185</v>
      </c>
      <c r="I83" s="63">
        <v>1.0</v>
      </c>
      <c r="J83" s="63">
        <v>2.0</v>
      </c>
      <c r="K83" s="63">
        <v>3.0</v>
      </c>
      <c r="L83" s="63">
        <v>4.0</v>
      </c>
      <c r="M83" s="63" t="s">
        <v>186</v>
      </c>
      <c r="N83" s="64" t="s">
        <v>1</v>
      </c>
      <c r="O83" s="64" t="s">
        <v>185</v>
      </c>
      <c r="P83" s="64">
        <v>1.0</v>
      </c>
      <c r="Q83" s="64">
        <v>2.0</v>
      </c>
      <c r="R83" s="64">
        <v>3.0</v>
      </c>
      <c r="S83" s="64">
        <v>4.0</v>
      </c>
      <c r="T83" s="64" t="s">
        <v>186</v>
      </c>
    </row>
    <row r="84">
      <c r="A84" s="49" t="s">
        <v>187</v>
      </c>
      <c r="G84" s="65">
        <v>2.0</v>
      </c>
      <c r="H84" s="65" t="s">
        <v>188</v>
      </c>
      <c r="I84" s="66"/>
      <c r="J84" s="66"/>
      <c r="K84" s="67">
        <v>1.0</v>
      </c>
      <c r="L84" s="66"/>
      <c r="M84" s="67">
        <v>1.0</v>
      </c>
      <c r="N84" s="68">
        <v>4.0</v>
      </c>
      <c r="O84" s="68" t="s">
        <v>189</v>
      </c>
      <c r="P84" s="69"/>
      <c r="Q84" s="70">
        <v>1.0</v>
      </c>
      <c r="R84" s="69"/>
      <c r="S84" s="70">
        <v>2.0</v>
      </c>
      <c r="T84" s="69"/>
    </row>
    <row r="85">
      <c r="A85" s="56" t="s">
        <v>190</v>
      </c>
      <c r="G85" s="65">
        <v>3.0</v>
      </c>
      <c r="H85" s="65" t="s">
        <v>191</v>
      </c>
      <c r="I85" s="66"/>
      <c r="J85" s="66"/>
      <c r="K85" s="66"/>
      <c r="L85" s="67">
        <v>1.0</v>
      </c>
      <c r="M85" s="66"/>
      <c r="N85" s="68">
        <v>5.0</v>
      </c>
      <c r="O85" s="68" t="s">
        <v>192</v>
      </c>
      <c r="P85" s="69"/>
      <c r="Q85" s="69"/>
      <c r="R85" s="69"/>
      <c r="S85" s="69"/>
      <c r="T85" s="69"/>
    </row>
    <row r="86">
      <c r="A86" s="49" t="s">
        <v>193</v>
      </c>
      <c r="G86" s="65">
        <v>5.0</v>
      </c>
      <c r="H86" s="65" t="s">
        <v>194</v>
      </c>
      <c r="I86" s="66"/>
      <c r="J86" s="66"/>
      <c r="K86" s="67">
        <v>1.0</v>
      </c>
      <c r="L86" s="66"/>
      <c r="M86" s="66"/>
      <c r="N86" s="68">
        <v>6.0</v>
      </c>
      <c r="O86" s="68" t="s">
        <v>195</v>
      </c>
      <c r="P86" s="70">
        <v>1.0</v>
      </c>
      <c r="Q86" s="70">
        <v>1.0</v>
      </c>
      <c r="R86" s="69"/>
      <c r="S86" s="70">
        <v>1.0</v>
      </c>
      <c r="T86" s="69"/>
    </row>
    <row r="87">
      <c r="A87" s="49" t="s">
        <v>196</v>
      </c>
      <c r="G87" s="65">
        <v>8.0</v>
      </c>
      <c r="H87" s="65" t="s">
        <v>197</v>
      </c>
      <c r="I87" s="66"/>
      <c r="J87" s="66"/>
      <c r="K87" s="66"/>
      <c r="L87" s="66"/>
      <c r="M87" s="66"/>
      <c r="N87" s="68">
        <v>7.0</v>
      </c>
      <c r="O87" s="68" t="s">
        <v>198</v>
      </c>
      <c r="P87" s="69"/>
      <c r="Q87" s="69"/>
      <c r="R87" s="69"/>
      <c r="S87" s="69"/>
      <c r="T87" s="69"/>
    </row>
    <row r="88">
      <c r="A88" s="49" t="s">
        <v>199</v>
      </c>
      <c r="G88" s="65">
        <v>10.0</v>
      </c>
      <c r="H88" s="65" t="s">
        <v>200</v>
      </c>
      <c r="I88" s="66"/>
      <c r="J88" s="66"/>
      <c r="K88" s="66"/>
      <c r="L88" s="67">
        <v>2.0</v>
      </c>
      <c r="M88" s="66"/>
      <c r="N88" s="68">
        <v>8.0</v>
      </c>
      <c r="O88" s="68" t="s">
        <v>201</v>
      </c>
      <c r="P88" s="69"/>
      <c r="Q88" s="69"/>
      <c r="R88" s="69"/>
      <c r="S88" s="69"/>
      <c r="T88" s="69"/>
    </row>
    <row r="89">
      <c r="A89" s="49" t="s">
        <v>202</v>
      </c>
      <c r="G89" s="65">
        <v>12.0</v>
      </c>
      <c r="H89" s="65" t="s">
        <v>203</v>
      </c>
      <c r="I89" s="66"/>
      <c r="J89" s="66"/>
      <c r="K89" s="66"/>
      <c r="L89" s="66"/>
      <c r="M89" s="67">
        <v>1.0</v>
      </c>
      <c r="N89" s="68">
        <v>10.0</v>
      </c>
      <c r="O89" s="68" t="s">
        <v>204</v>
      </c>
      <c r="P89" s="69"/>
      <c r="Q89" s="69"/>
      <c r="R89" s="70">
        <v>1.0</v>
      </c>
      <c r="S89" s="70">
        <v>1.0</v>
      </c>
      <c r="T89" s="69"/>
    </row>
    <row r="90">
      <c r="A90" s="55" t="s">
        <v>157</v>
      </c>
      <c r="G90" s="65">
        <v>14.0</v>
      </c>
      <c r="H90" s="65" t="s">
        <v>205</v>
      </c>
      <c r="I90" s="66"/>
      <c r="J90" s="66"/>
      <c r="K90" s="67">
        <v>1.0</v>
      </c>
      <c r="L90" s="66"/>
      <c r="M90" s="66"/>
      <c r="N90" s="68">
        <v>11.0</v>
      </c>
      <c r="O90" s="68" t="s">
        <v>206</v>
      </c>
      <c r="P90" s="69"/>
      <c r="Q90" s="69"/>
      <c r="R90" s="69"/>
      <c r="S90" s="69"/>
      <c r="T90" s="69"/>
    </row>
    <row r="91">
      <c r="A91" s="49" t="s">
        <v>207</v>
      </c>
      <c r="G91" s="65">
        <v>19.0</v>
      </c>
      <c r="H91" s="65" t="s">
        <v>208</v>
      </c>
      <c r="I91" s="66"/>
      <c r="J91" s="66"/>
      <c r="K91" s="66"/>
      <c r="L91" s="66"/>
      <c r="M91" s="66"/>
      <c r="N91" s="68">
        <v>16.0</v>
      </c>
      <c r="O91" s="68" t="s">
        <v>209</v>
      </c>
      <c r="P91" s="69"/>
      <c r="Q91" s="69"/>
      <c r="R91" s="69"/>
      <c r="S91" s="69"/>
      <c r="T91" s="69"/>
    </row>
    <row r="92">
      <c r="A92" s="49" t="s">
        <v>210</v>
      </c>
      <c r="G92" s="65">
        <v>23.0</v>
      </c>
      <c r="H92" s="65" t="s">
        <v>211</v>
      </c>
      <c r="I92" s="67">
        <v>1.0</v>
      </c>
      <c r="J92" s="66"/>
      <c r="K92" s="67">
        <v>1.0</v>
      </c>
      <c r="L92" s="67">
        <v>1.0</v>
      </c>
      <c r="M92" s="66"/>
      <c r="N92" s="68">
        <v>23.0</v>
      </c>
      <c r="O92" s="68" t="s">
        <v>212</v>
      </c>
      <c r="P92" s="69"/>
      <c r="Q92" s="70">
        <v>2.0</v>
      </c>
      <c r="R92" s="70">
        <v>1.0</v>
      </c>
      <c r="S92" s="69"/>
      <c r="T92" s="69"/>
    </row>
    <row r="93">
      <c r="A93" s="49" t="s">
        <v>213</v>
      </c>
      <c r="G93" s="65">
        <v>26.0</v>
      </c>
      <c r="H93" s="65" t="s">
        <v>214</v>
      </c>
      <c r="I93" s="66"/>
      <c r="J93" s="66"/>
      <c r="K93" s="66"/>
      <c r="L93" s="66"/>
      <c r="M93" s="66"/>
      <c r="N93" s="68">
        <v>26.0</v>
      </c>
      <c r="O93" s="68" t="s">
        <v>215</v>
      </c>
      <c r="P93" s="69"/>
      <c r="Q93" s="69"/>
      <c r="R93" s="69"/>
      <c r="S93" s="70">
        <v>1.0</v>
      </c>
      <c r="T93" s="69"/>
    </row>
    <row r="94">
      <c r="A94" s="56" t="s">
        <v>216</v>
      </c>
      <c r="G94" s="65">
        <v>66.0</v>
      </c>
      <c r="H94" s="65" t="s">
        <v>217</v>
      </c>
      <c r="I94" s="66"/>
      <c r="J94" s="66"/>
      <c r="K94" s="66"/>
      <c r="L94" s="66"/>
      <c r="M94" s="66"/>
      <c r="N94" s="68">
        <v>29.0</v>
      </c>
      <c r="O94" s="68" t="s">
        <v>218</v>
      </c>
      <c r="P94" s="69"/>
      <c r="Q94" s="70">
        <v>1.0</v>
      </c>
      <c r="R94" s="70">
        <v>1.0</v>
      </c>
      <c r="S94" s="69"/>
      <c r="T94" s="69"/>
    </row>
    <row r="95">
      <c r="A95" s="49" t="s">
        <v>219</v>
      </c>
      <c r="G95" s="65">
        <v>88.0</v>
      </c>
      <c r="H95" s="65" t="s">
        <v>220</v>
      </c>
      <c r="I95" s="67">
        <v>1.0</v>
      </c>
      <c r="J95" s="67">
        <v>1.0</v>
      </c>
      <c r="K95" s="66"/>
      <c r="L95" s="66"/>
      <c r="M95" s="66"/>
      <c r="N95" s="68">
        <v>31.0</v>
      </c>
      <c r="O95" s="68" t="s">
        <v>221</v>
      </c>
      <c r="P95" s="69"/>
      <c r="Q95" s="69"/>
      <c r="R95" s="69"/>
      <c r="S95" s="70">
        <v>1.0</v>
      </c>
      <c r="T95" s="69"/>
    </row>
    <row r="96">
      <c r="A96" s="49" t="s">
        <v>222</v>
      </c>
      <c r="G96" s="65">
        <v>91.0</v>
      </c>
      <c r="H96" s="65" t="s">
        <v>223</v>
      </c>
      <c r="I96" s="66"/>
      <c r="J96" s="67">
        <v>1.0</v>
      </c>
      <c r="K96" s="66"/>
      <c r="L96" s="66"/>
      <c r="M96" s="66"/>
      <c r="N96" s="68">
        <v>48.0</v>
      </c>
      <c r="O96" s="68" t="s">
        <v>224</v>
      </c>
      <c r="P96" s="69"/>
      <c r="Q96" s="69"/>
      <c r="R96" s="69"/>
      <c r="S96" s="70">
        <v>1.0</v>
      </c>
      <c r="T96" s="69"/>
    </row>
    <row r="97">
      <c r="A97" s="49"/>
      <c r="G97" s="65">
        <v>93.0</v>
      </c>
      <c r="H97" s="65" t="s">
        <v>225</v>
      </c>
      <c r="I97" s="66"/>
      <c r="J97" s="67">
        <v>1.0</v>
      </c>
      <c r="K97" s="67">
        <v>1.0</v>
      </c>
      <c r="L97" s="67">
        <v>1.0</v>
      </c>
      <c r="M97" s="66"/>
      <c r="N97" s="68">
        <v>91.0</v>
      </c>
      <c r="O97" s="68" t="s">
        <v>226</v>
      </c>
      <c r="P97" s="69"/>
      <c r="Q97" s="69"/>
      <c r="R97" s="70">
        <v>1.0</v>
      </c>
      <c r="S97" s="69"/>
      <c r="T97" s="69"/>
    </row>
    <row r="98">
      <c r="A98" s="56" t="s">
        <v>227</v>
      </c>
      <c r="G98" s="65">
        <v>17.0</v>
      </c>
      <c r="H98" s="65" t="s">
        <v>228</v>
      </c>
      <c r="I98" s="66"/>
      <c r="J98" s="66"/>
      <c r="K98" s="66"/>
      <c r="L98" s="66"/>
      <c r="M98" s="66"/>
      <c r="N98" s="68">
        <v>36.0</v>
      </c>
      <c r="O98" s="68" t="s">
        <v>229</v>
      </c>
      <c r="P98" s="69"/>
      <c r="Q98" s="69"/>
      <c r="R98" s="69"/>
      <c r="S98" s="69"/>
      <c r="T98" s="69"/>
    </row>
    <row r="99">
      <c r="A99" s="49" t="s">
        <v>230</v>
      </c>
      <c r="G99" s="65">
        <v>99.0</v>
      </c>
      <c r="H99" s="65" t="s">
        <v>231</v>
      </c>
      <c r="I99" s="66"/>
      <c r="J99" s="66"/>
      <c r="K99" s="66"/>
      <c r="L99" s="66"/>
      <c r="M99" s="66"/>
      <c r="N99" s="68">
        <v>99.0</v>
      </c>
      <c r="O99" s="68" t="s">
        <v>232</v>
      </c>
      <c r="P99" s="69"/>
      <c r="Q99" s="69"/>
      <c r="R99" s="69"/>
      <c r="S99" s="69"/>
      <c r="T99" s="69"/>
    </row>
    <row r="100">
      <c r="A100" s="71" t="s">
        <v>233</v>
      </c>
      <c r="G100" s="49"/>
      <c r="H100" s="49"/>
      <c r="I100" s="49"/>
      <c r="J100" s="49"/>
      <c r="K100" s="49"/>
      <c r="L100" s="49"/>
      <c r="M100" s="49"/>
    </row>
    <row r="101">
      <c r="A101" s="49" t="s">
        <v>234</v>
      </c>
      <c r="G101" s="49"/>
      <c r="H101" s="49"/>
      <c r="I101" s="49"/>
      <c r="J101" s="49"/>
      <c r="K101" s="49"/>
      <c r="L101" s="49"/>
      <c r="M101" s="49"/>
    </row>
    <row r="102">
      <c r="A102" s="56" t="s">
        <v>235</v>
      </c>
      <c r="G102" s="49"/>
      <c r="H102" s="49"/>
      <c r="I102" s="49"/>
      <c r="J102" s="49"/>
      <c r="K102" s="49"/>
      <c r="L102" s="49"/>
      <c r="M102" s="49"/>
    </row>
    <row r="103">
      <c r="A103" s="49" t="s">
        <v>236</v>
      </c>
      <c r="G103" s="49"/>
      <c r="H103" s="49"/>
      <c r="I103" s="49"/>
      <c r="J103" s="49"/>
      <c r="K103" s="49"/>
      <c r="L103" s="49"/>
      <c r="M103" s="49"/>
    </row>
    <row r="104">
      <c r="A104" s="55" t="s">
        <v>166</v>
      </c>
      <c r="G104" s="49"/>
      <c r="H104" s="49"/>
      <c r="I104" s="49"/>
      <c r="J104" s="49"/>
      <c r="K104" s="49"/>
      <c r="L104" s="49"/>
      <c r="M104" s="49"/>
    </row>
    <row r="105">
      <c r="A105" s="58" t="s">
        <v>237</v>
      </c>
      <c r="B105" s="49" t="s">
        <v>238</v>
      </c>
      <c r="G105" s="49"/>
      <c r="H105" s="49"/>
      <c r="I105" s="49"/>
      <c r="J105" s="49"/>
      <c r="K105" s="49"/>
      <c r="L105" s="49"/>
      <c r="M105" s="49"/>
    </row>
    <row r="106">
      <c r="A106" s="58" t="s">
        <v>239</v>
      </c>
      <c r="B106" s="49" t="s">
        <v>240</v>
      </c>
      <c r="G106" s="49"/>
      <c r="H106" s="49"/>
      <c r="I106" s="49"/>
      <c r="J106" s="49"/>
      <c r="K106" s="49"/>
      <c r="L106" s="49"/>
      <c r="M106" s="49"/>
    </row>
    <row r="107">
      <c r="A107" s="72">
        <v>45659.0</v>
      </c>
      <c r="B107" s="49" t="s">
        <v>241</v>
      </c>
      <c r="G107" s="49"/>
      <c r="H107" s="49"/>
      <c r="I107" s="49"/>
      <c r="J107" s="49"/>
      <c r="K107" s="49"/>
      <c r="L107" s="49"/>
      <c r="M107" s="49"/>
    </row>
    <row r="108">
      <c r="A108" s="72">
        <v>45690.0</v>
      </c>
      <c r="B108" s="49" t="s">
        <v>242</v>
      </c>
      <c r="G108" s="49"/>
      <c r="H108" s="49"/>
      <c r="I108" s="49"/>
      <c r="J108" s="49"/>
      <c r="K108" s="49"/>
      <c r="L108" s="49"/>
      <c r="M108" s="49"/>
    </row>
    <row r="110">
      <c r="A110" s="54" t="s">
        <v>243</v>
      </c>
    </row>
    <row r="111">
      <c r="A111" s="55" t="s">
        <v>147</v>
      </c>
    </row>
    <row r="112">
      <c r="A112" s="73" t="s">
        <v>244</v>
      </c>
    </row>
    <row r="113">
      <c r="A113" s="73" t="s">
        <v>245</v>
      </c>
    </row>
    <row r="114">
      <c r="A114" s="73" t="s">
        <v>246</v>
      </c>
    </row>
    <row r="115">
      <c r="A115" s="73" t="s">
        <v>247</v>
      </c>
    </row>
    <row r="116">
      <c r="A116" s="73" t="s">
        <v>248</v>
      </c>
    </row>
    <row r="117">
      <c r="A117" s="73" t="s">
        <v>249</v>
      </c>
      <c r="G117" s="62" t="s">
        <v>182</v>
      </c>
      <c r="N117" s="49"/>
      <c r="O117" s="62" t="s">
        <v>182</v>
      </c>
    </row>
    <row r="118">
      <c r="A118" s="73" t="s">
        <v>250</v>
      </c>
      <c r="N118" s="49"/>
    </row>
    <row r="119">
      <c r="A119" s="73" t="s">
        <v>251</v>
      </c>
      <c r="G119" s="63" t="s">
        <v>1</v>
      </c>
      <c r="H119" s="63" t="s">
        <v>185</v>
      </c>
      <c r="I119" s="63">
        <v>1.0</v>
      </c>
      <c r="J119" s="63">
        <v>2.0</v>
      </c>
      <c r="K119" s="63">
        <v>3.0</v>
      </c>
      <c r="L119" s="63">
        <v>4.0</v>
      </c>
      <c r="M119" s="63" t="s">
        <v>186</v>
      </c>
      <c r="N119" s="49"/>
      <c r="O119" s="64" t="s">
        <v>1</v>
      </c>
      <c r="P119" s="64" t="s">
        <v>185</v>
      </c>
      <c r="Q119" s="64">
        <v>1.0</v>
      </c>
      <c r="R119" s="64">
        <v>2.0</v>
      </c>
      <c r="S119" s="64">
        <v>3.0</v>
      </c>
      <c r="T119" s="64">
        <v>4.0</v>
      </c>
      <c r="U119" s="64" t="s">
        <v>186</v>
      </c>
    </row>
    <row r="120">
      <c r="A120" s="73" t="s">
        <v>252</v>
      </c>
      <c r="G120" s="65">
        <v>3.0</v>
      </c>
      <c r="H120" s="65" t="s">
        <v>191</v>
      </c>
      <c r="I120" s="67">
        <v>2.0</v>
      </c>
      <c r="J120" s="66"/>
      <c r="K120" s="66"/>
      <c r="L120" s="66"/>
      <c r="M120" s="66"/>
      <c r="N120" s="49"/>
      <c r="O120" s="68">
        <v>4.0</v>
      </c>
      <c r="P120" s="68" t="s">
        <v>189</v>
      </c>
      <c r="Q120" s="69"/>
      <c r="R120" s="69"/>
      <c r="S120" s="69"/>
      <c r="T120" s="70">
        <v>1.0</v>
      </c>
      <c r="U120" s="69"/>
    </row>
    <row r="121">
      <c r="A121" s="73" t="s">
        <v>253</v>
      </c>
      <c r="G121" s="65">
        <v>5.0</v>
      </c>
      <c r="H121" s="65" t="s">
        <v>194</v>
      </c>
      <c r="I121" s="66"/>
      <c r="J121" s="66"/>
      <c r="K121" s="66"/>
      <c r="L121" s="67">
        <v>1.0</v>
      </c>
      <c r="M121" s="67">
        <v>1.0</v>
      </c>
      <c r="N121" s="49"/>
      <c r="O121" s="68">
        <v>5.0</v>
      </c>
      <c r="P121" s="68" t="s">
        <v>192</v>
      </c>
      <c r="Q121" s="69"/>
      <c r="R121" s="69"/>
      <c r="S121" s="70">
        <v>1.0</v>
      </c>
      <c r="T121" s="69"/>
      <c r="U121" s="69"/>
    </row>
    <row r="122">
      <c r="A122" s="73" t="s">
        <v>254</v>
      </c>
      <c r="G122" s="65">
        <v>6.0</v>
      </c>
      <c r="H122" s="65" t="s">
        <v>255</v>
      </c>
      <c r="I122" s="66"/>
      <c r="J122" s="66"/>
      <c r="K122" s="66"/>
      <c r="L122" s="66"/>
      <c r="M122" s="66"/>
      <c r="N122" s="49"/>
      <c r="O122" s="68">
        <v>7.0</v>
      </c>
      <c r="P122" s="68" t="s">
        <v>198</v>
      </c>
      <c r="Q122" s="69"/>
      <c r="R122" s="69"/>
      <c r="S122" s="69"/>
      <c r="T122" s="70">
        <v>2.0</v>
      </c>
      <c r="U122" s="69"/>
    </row>
    <row r="123">
      <c r="A123" s="73" t="s">
        <v>256</v>
      </c>
      <c r="G123" s="65">
        <v>10.0</v>
      </c>
      <c r="H123" s="65" t="s">
        <v>200</v>
      </c>
      <c r="I123" s="66"/>
      <c r="J123" s="67">
        <v>2.0</v>
      </c>
      <c r="K123" s="66"/>
      <c r="L123" s="66"/>
      <c r="M123" s="66"/>
      <c r="N123" s="49"/>
      <c r="O123" s="68">
        <v>8.0</v>
      </c>
      <c r="P123" s="68" t="s">
        <v>201</v>
      </c>
      <c r="Q123" s="69"/>
      <c r="R123" s="69"/>
      <c r="S123" s="69"/>
      <c r="T123" s="69"/>
      <c r="U123" s="69"/>
    </row>
    <row r="124">
      <c r="A124" s="74" t="s">
        <v>257</v>
      </c>
      <c r="G124" s="65">
        <v>11.0</v>
      </c>
      <c r="H124" s="65" t="s">
        <v>258</v>
      </c>
      <c r="I124" s="66"/>
      <c r="J124" s="66"/>
      <c r="K124" s="66"/>
      <c r="L124" s="66"/>
      <c r="M124" s="67">
        <v>1.0</v>
      </c>
      <c r="N124" s="49"/>
      <c r="O124" s="68">
        <v>9.0</v>
      </c>
      <c r="P124" s="68" t="s">
        <v>259</v>
      </c>
      <c r="Q124" s="69"/>
      <c r="R124" s="70">
        <v>1.0</v>
      </c>
      <c r="S124" s="69"/>
      <c r="T124" s="69"/>
      <c r="U124" s="70">
        <v>1.0</v>
      </c>
    </row>
    <row r="125">
      <c r="A125" s="73" t="s">
        <v>260</v>
      </c>
      <c r="G125" s="65">
        <v>12.0</v>
      </c>
      <c r="H125" s="65" t="s">
        <v>203</v>
      </c>
      <c r="I125" s="66"/>
      <c r="J125" s="66"/>
      <c r="K125" s="67">
        <v>1.0</v>
      </c>
      <c r="L125" s="66"/>
      <c r="M125" s="66"/>
      <c r="N125" s="49"/>
      <c r="O125" s="68">
        <v>11.0</v>
      </c>
      <c r="P125" s="68" t="s">
        <v>206</v>
      </c>
      <c r="Q125" s="69"/>
      <c r="R125" s="69"/>
      <c r="S125" s="69"/>
      <c r="T125" s="69"/>
      <c r="U125" s="69"/>
    </row>
    <row r="126">
      <c r="A126" s="73" t="s">
        <v>261</v>
      </c>
      <c r="G126" s="65">
        <v>14.0</v>
      </c>
      <c r="H126" s="65" t="s">
        <v>205</v>
      </c>
      <c r="I126" s="66"/>
      <c r="J126" s="66"/>
      <c r="K126" s="66"/>
      <c r="L126" s="66"/>
      <c r="M126" s="66"/>
      <c r="N126" s="49"/>
      <c r="O126" s="68">
        <v>17.0</v>
      </c>
      <c r="P126" s="68" t="s">
        <v>262</v>
      </c>
      <c r="Q126" s="69"/>
      <c r="R126" s="69"/>
      <c r="S126" s="69"/>
      <c r="T126" s="70">
        <v>1.0</v>
      </c>
      <c r="U126" s="70">
        <v>1.0</v>
      </c>
    </row>
    <row r="127">
      <c r="A127" s="75" t="s">
        <v>263</v>
      </c>
      <c r="G127" s="65">
        <v>19.0</v>
      </c>
      <c r="H127" s="65" t="s">
        <v>208</v>
      </c>
      <c r="I127" s="66"/>
      <c r="J127" s="66"/>
      <c r="K127" s="66"/>
      <c r="L127" s="67">
        <v>1.0</v>
      </c>
      <c r="M127" s="66"/>
      <c r="N127" s="49"/>
      <c r="O127" s="68">
        <v>18.0</v>
      </c>
      <c r="P127" s="68" t="s">
        <v>264</v>
      </c>
      <c r="Q127" s="69"/>
      <c r="R127" s="69"/>
      <c r="S127" s="70">
        <v>1.0</v>
      </c>
      <c r="T127" s="69"/>
      <c r="U127" s="69"/>
    </row>
    <row r="128">
      <c r="A128" s="73" t="s">
        <v>265</v>
      </c>
      <c r="B128" s="73"/>
      <c r="C128" s="73"/>
      <c r="D128" s="73" t="s">
        <v>266</v>
      </c>
      <c r="E128" s="73"/>
      <c r="F128" s="73"/>
      <c r="G128" s="65">
        <v>23.0</v>
      </c>
      <c r="H128" s="65" t="s">
        <v>211</v>
      </c>
      <c r="I128" s="66"/>
      <c r="J128" s="67">
        <v>2.0</v>
      </c>
      <c r="K128" s="67">
        <v>1.0</v>
      </c>
      <c r="L128" s="66"/>
      <c r="M128" s="66"/>
      <c r="N128" s="49"/>
      <c r="O128" s="68">
        <v>19.0</v>
      </c>
      <c r="P128" s="68" t="s">
        <v>267</v>
      </c>
      <c r="Q128" s="70">
        <v>1.0</v>
      </c>
      <c r="R128" s="69"/>
      <c r="S128" s="69"/>
      <c r="T128" s="69"/>
      <c r="U128" s="69"/>
    </row>
    <row r="129">
      <c r="A129" s="73" t="s">
        <v>268</v>
      </c>
      <c r="B129" s="73"/>
      <c r="C129" s="73"/>
      <c r="D129" s="73"/>
      <c r="E129" s="73"/>
      <c r="F129" s="73"/>
      <c r="G129" s="65">
        <v>25.0</v>
      </c>
      <c r="H129" s="65" t="s">
        <v>269</v>
      </c>
      <c r="I129" s="66"/>
      <c r="J129" s="66"/>
      <c r="K129" s="66"/>
      <c r="L129" s="66"/>
      <c r="M129" s="66"/>
      <c r="N129" s="49"/>
      <c r="O129" s="68">
        <v>27.0</v>
      </c>
      <c r="P129" s="68" t="s">
        <v>270</v>
      </c>
      <c r="Q129" s="70">
        <v>1.0</v>
      </c>
      <c r="R129" s="69"/>
      <c r="S129" s="69"/>
      <c r="T129" s="69"/>
      <c r="U129" s="69"/>
    </row>
    <row r="130">
      <c r="A130" s="55" t="s">
        <v>157</v>
      </c>
      <c r="G130" s="65">
        <v>26.0</v>
      </c>
      <c r="H130" s="65" t="s">
        <v>214</v>
      </c>
      <c r="I130" s="66"/>
      <c r="J130" s="67">
        <v>1.0</v>
      </c>
      <c r="K130" s="67">
        <v>1.0</v>
      </c>
      <c r="L130" s="66"/>
      <c r="M130" s="66"/>
      <c r="N130" s="49"/>
      <c r="O130" s="68">
        <v>29.0</v>
      </c>
      <c r="P130" s="68" t="s">
        <v>218</v>
      </c>
      <c r="Q130" s="69"/>
      <c r="R130" s="69"/>
      <c r="S130" s="69"/>
      <c r="T130" s="69"/>
      <c r="U130" s="69"/>
    </row>
    <row r="131">
      <c r="A131" s="49" t="s">
        <v>271</v>
      </c>
      <c r="G131" s="65">
        <v>33.0</v>
      </c>
      <c r="H131" s="65" t="s">
        <v>272</v>
      </c>
      <c r="I131" s="67">
        <v>2.0</v>
      </c>
      <c r="J131" s="66"/>
      <c r="K131" s="66"/>
      <c r="L131" s="66"/>
      <c r="M131" s="66"/>
      <c r="N131" s="49"/>
      <c r="O131" s="68">
        <v>45.0</v>
      </c>
      <c r="P131" s="68" t="s">
        <v>273</v>
      </c>
      <c r="Q131" s="69"/>
      <c r="R131" s="69"/>
      <c r="S131" s="69"/>
      <c r="T131" s="69"/>
      <c r="U131" s="69"/>
    </row>
    <row r="132">
      <c r="A132" s="49" t="s">
        <v>274</v>
      </c>
      <c r="G132" s="65">
        <v>53.0</v>
      </c>
      <c r="H132" s="65" t="s">
        <v>275</v>
      </c>
      <c r="I132" s="67">
        <v>1.0</v>
      </c>
      <c r="J132" s="66"/>
      <c r="K132" s="66"/>
      <c r="L132" s="66"/>
      <c r="M132" s="66"/>
      <c r="N132" s="49"/>
      <c r="O132" s="68">
        <v>80.0</v>
      </c>
      <c r="P132" s="68" t="s">
        <v>276</v>
      </c>
      <c r="Q132" s="69"/>
      <c r="R132" s="70">
        <v>1.0</v>
      </c>
      <c r="S132" s="69"/>
      <c r="T132" s="69"/>
      <c r="U132" s="69"/>
    </row>
    <row r="133">
      <c r="A133" s="49" t="s">
        <v>277</v>
      </c>
      <c r="G133" s="65">
        <v>91.0</v>
      </c>
      <c r="H133" s="65" t="s">
        <v>223</v>
      </c>
      <c r="I133" s="66"/>
      <c r="J133" s="66"/>
      <c r="K133" s="67">
        <v>1.0</v>
      </c>
      <c r="L133" s="66"/>
      <c r="M133" s="66"/>
      <c r="N133" s="49"/>
      <c r="O133" s="68">
        <v>91.0</v>
      </c>
      <c r="P133" s="68" t="s">
        <v>278</v>
      </c>
      <c r="Q133" s="69"/>
      <c r="R133" s="69"/>
      <c r="S133" s="69"/>
      <c r="T133" s="69"/>
      <c r="U133" s="69"/>
    </row>
    <row r="134">
      <c r="A134" s="71" t="s">
        <v>279</v>
      </c>
      <c r="G134" s="65">
        <v>17.0</v>
      </c>
      <c r="H134" s="65" t="s">
        <v>228</v>
      </c>
      <c r="I134" s="66"/>
      <c r="J134" s="66"/>
      <c r="K134" s="66"/>
      <c r="L134" s="66"/>
      <c r="M134" s="66"/>
      <c r="N134" s="49"/>
      <c r="O134" s="68">
        <v>36.0</v>
      </c>
      <c r="P134" s="68" t="s">
        <v>280</v>
      </c>
      <c r="Q134" s="69"/>
      <c r="R134" s="69"/>
      <c r="S134" s="69"/>
      <c r="T134" s="69"/>
      <c r="U134" s="69"/>
    </row>
    <row r="135">
      <c r="A135" s="49" t="s">
        <v>281</v>
      </c>
      <c r="G135" s="65">
        <v>99.0</v>
      </c>
      <c r="H135" s="65" t="s">
        <v>231</v>
      </c>
      <c r="I135" s="66"/>
      <c r="J135" s="66"/>
      <c r="K135" s="66"/>
      <c r="L135" s="66"/>
      <c r="M135" s="66"/>
      <c r="N135" s="49"/>
      <c r="O135" s="68">
        <v>99.0</v>
      </c>
      <c r="P135" s="68" t="s">
        <v>232</v>
      </c>
      <c r="Q135" s="69"/>
      <c r="R135" s="69"/>
      <c r="S135" s="69"/>
      <c r="T135" s="69"/>
      <c r="U135" s="69"/>
    </row>
    <row r="136">
      <c r="A136" s="49" t="s">
        <v>282</v>
      </c>
      <c r="G136" s="49"/>
      <c r="H136" s="49"/>
      <c r="I136" s="49"/>
      <c r="J136" s="49"/>
      <c r="K136" s="49"/>
      <c r="L136" s="49"/>
      <c r="M136" s="49"/>
      <c r="N136" s="49"/>
    </row>
    <row r="137">
      <c r="A137" s="55" t="s">
        <v>166</v>
      </c>
      <c r="N137" s="49"/>
    </row>
    <row r="138">
      <c r="A138" s="76" t="s">
        <v>283</v>
      </c>
      <c r="B138" s="49" t="s">
        <v>284</v>
      </c>
      <c r="N138" s="49"/>
    </row>
    <row r="139">
      <c r="A139" s="76" t="s">
        <v>285</v>
      </c>
      <c r="B139" s="49" t="s">
        <v>286</v>
      </c>
      <c r="N139" s="49"/>
    </row>
    <row r="140">
      <c r="A140" s="77" t="s">
        <v>287</v>
      </c>
      <c r="B140" s="49" t="s">
        <v>288</v>
      </c>
      <c r="N140" s="49"/>
    </row>
    <row r="141">
      <c r="A141" s="77" t="s">
        <v>289</v>
      </c>
      <c r="B141" s="49" t="s">
        <v>290</v>
      </c>
      <c r="N141" s="49"/>
    </row>
    <row r="142">
      <c r="A142" s="76" t="s">
        <v>291</v>
      </c>
      <c r="B142" s="49" t="s">
        <v>292</v>
      </c>
      <c r="N142" s="49"/>
    </row>
    <row r="143">
      <c r="A143" s="76" t="s">
        <v>293</v>
      </c>
      <c r="B143" s="49" t="s">
        <v>294</v>
      </c>
      <c r="N143" s="49"/>
    </row>
    <row r="144">
      <c r="A144" s="76" t="s">
        <v>295</v>
      </c>
      <c r="B144" s="49" t="s">
        <v>296</v>
      </c>
      <c r="N144" s="49"/>
    </row>
    <row r="145">
      <c r="A145" s="76" t="s">
        <v>297</v>
      </c>
      <c r="B145" s="49" t="s">
        <v>298</v>
      </c>
      <c r="N145" s="49"/>
    </row>
    <row r="146">
      <c r="N146" s="49"/>
    </row>
    <row r="147">
      <c r="A147" s="54" t="s">
        <v>299</v>
      </c>
      <c r="H147" s="62" t="s">
        <v>182</v>
      </c>
      <c r="P147" s="62" t="s">
        <v>182</v>
      </c>
    </row>
    <row r="148">
      <c r="A148" s="55" t="s">
        <v>147</v>
      </c>
    </row>
    <row r="149">
      <c r="A149" s="78" t="s">
        <v>300</v>
      </c>
      <c r="H149" s="63" t="s">
        <v>1</v>
      </c>
      <c r="I149" s="63" t="s">
        <v>185</v>
      </c>
      <c r="J149" s="63">
        <v>1.0</v>
      </c>
      <c r="K149" s="63">
        <v>2.0</v>
      </c>
      <c r="L149" s="63">
        <v>3.0</v>
      </c>
      <c r="M149" s="63">
        <v>4.0</v>
      </c>
      <c r="N149" s="63" t="s">
        <v>186</v>
      </c>
      <c r="P149" s="79" t="s">
        <v>1</v>
      </c>
      <c r="Q149" s="79" t="s">
        <v>185</v>
      </c>
      <c r="R149" s="79">
        <v>1.0</v>
      </c>
      <c r="S149" s="79">
        <v>2.0</v>
      </c>
      <c r="T149" s="79">
        <v>3.0</v>
      </c>
      <c r="U149" s="79">
        <v>4.0</v>
      </c>
      <c r="V149" s="79" t="s">
        <v>186</v>
      </c>
    </row>
    <row r="150">
      <c r="A150" s="78" t="s">
        <v>301</v>
      </c>
      <c r="H150" s="65">
        <v>3.0</v>
      </c>
      <c r="I150" s="65" t="s">
        <v>191</v>
      </c>
      <c r="J150" s="66"/>
      <c r="K150" s="66"/>
      <c r="L150" s="66"/>
      <c r="M150" s="66"/>
      <c r="N150" s="66"/>
      <c r="P150" s="80">
        <v>3.0</v>
      </c>
      <c r="Q150" s="80" t="s">
        <v>302</v>
      </c>
      <c r="R150" s="81"/>
      <c r="S150" s="82">
        <v>1.0</v>
      </c>
      <c r="T150" s="82">
        <v>1.0</v>
      </c>
      <c r="U150" s="81"/>
      <c r="V150" s="81"/>
    </row>
    <row r="151">
      <c r="A151" s="78" t="s">
        <v>303</v>
      </c>
      <c r="H151" s="65">
        <v>5.0</v>
      </c>
      <c r="I151" s="65" t="s">
        <v>194</v>
      </c>
      <c r="J151" s="66"/>
      <c r="K151" s="66"/>
      <c r="L151" s="66"/>
      <c r="M151" s="66"/>
      <c r="N151" s="66"/>
      <c r="P151" s="80">
        <v>5.0</v>
      </c>
      <c r="Q151" s="80" t="s">
        <v>304</v>
      </c>
      <c r="R151" s="81"/>
      <c r="S151" s="81"/>
      <c r="T151" s="81"/>
      <c r="U151" s="81"/>
      <c r="V151" s="81"/>
    </row>
    <row r="152">
      <c r="A152" s="78" t="s">
        <v>305</v>
      </c>
      <c r="H152" s="65">
        <v>6.0</v>
      </c>
      <c r="I152" s="65" t="s">
        <v>255</v>
      </c>
      <c r="J152" s="66"/>
      <c r="K152" s="66"/>
      <c r="L152" s="67">
        <v>1.0</v>
      </c>
      <c r="M152" s="67">
        <v>1.0</v>
      </c>
      <c r="N152" s="66"/>
      <c r="P152" s="80">
        <v>6.0</v>
      </c>
      <c r="Q152" s="80" t="s">
        <v>306</v>
      </c>
      <c r="R152" s="81"/>
      <c r="S152" s="81"/>
      <c r="T152" s="81"/>
      <c r="U152" s="81"/>
      <c r="V152" s="81"/>
    </row>
    <row r="153">
      <c r="A153" s="78" t="s">
        <v>307</v>
      </c>
      <c r="H153" s="65">
        <v>11.0</v>
      </c>
      <c r="I153" s="65" t="s">
        <v>258</v>
      </c>
      <c r="J153" s="66"/>
      <c r="K153" s="66"/>
      <c r="L153" s="66"/>
      <c r="M153" s="66"/>
      <c r="N153" s="66"/>
      <c r="P153" s="80">
        <v>8.0</v>
      </c>
      <c r="Q153" s="80" t="s">
        <v>308</v>
      </c>
      <c r="R153" s="81"/>
      <c r="S153" s="81"/>
      <c r="T153" s="81"/>
      <c r="U153" s="81"/>
      <c r="V153" s="81"/>
    </row>
    <row r="154">
      <c r="A154" s="78" t="s">
        <v>309</v>
      </c>
      <c r="H154" s="65">
        <v>12.0</v>
      </c>
      <c r="I154" s="65" t="s">
        <v>203</v>
      </c>
      <c r="J154" s="66"/>
      <c r="K154" s="67">
        <v>2.0</v>
      </c>
      <c r="L154" s="66"/>
      <c r="M154" s="67">
        <v>1.0</v>
      </c>
      <c r="N154" s="66"/>
      <c r="P154" s="80">
        <v>9.0</v>
      </c>
      <c r="Q154" s="80" t="s">
        <v>310</v>
      </c>
      <c r="R154" s="82">
        <v>1.0</v>
      </c>
      <c r="S154" s="81"/>
      <c r="T154" s="81"/>
      <c r="U154" s="81"/>
      <c r="V154" s="81"/>
    </row>
    <row r="155">
      <c r="A155" s="78" t="s">
        <v>311</v>
      </c>
      <c r="H155" s="65">
        <v>14.0</v>
      </c>
      <c r="I155" s="65" t="s">
        <v>205</v>
      </c>
      <c r="J155" s="66"/>
      <c r="K155" s="67">
        <v>1.0</v>
      </c>
      <c r="L155" s="67">
        <v>1.0</v>
      </c>
      <c r="M155" s="66"/>
      <c r="N155" s="66"/>
      <c r="P155" s="80">
        <v>10.0</v>
      </c>
      <c r="Q155" s="80" t="s">
        <v>312</v>
      </c>
      <c r="R155" s="81"/>
      <c r="S155" s="81"/>
      <c r="T155" s="81"/>
      <c r="U155" s="82">
        <v>1.0</v>
      </c>
      <c r="V155" s="81"/>
    </row>
    <row r="156">
      <c r="A156" s="78" t="s">
        <v>313</v>
      </c>
      <c r="G156" s="49"/>
      <c r="H156" s="65">
        <v>19.0</v>
      </c>
      <c r="I156" s="65" t="s">
        <v>208</v>
      </c>
      <c r="J156" s="66"/>
      <c r="K156" s="67">
        <v>1.0</v>
      </c>
      <c r="L156" s="66"/>
      <c r="M156" s="66"/>
      <c r="N156" s="66"/>
      <c r="P156" s="80">
        <v>14.0</v>
      </c>
      <c r="Q156" s="80" t="s">
        <v>314</v>
      </c>
      <c r="R156" s="81"/>
      <c r="S156" s="81"/>
      <c r="T156" s="81"/>
      <c r="U156" s="81"/>
      <c r="V156" s="81"/>
    </row>
    <row r="157">
      <c r="A157" s="78" t="s">
        <v>315</v>
      </c>
      <c r="H157" s="65">
        <v>23.0</v>
      </c>
      <c r="I157" s="65" t="s">
        <v>211</v>
      </c>
      <c r="J157" s="66"/>
      <c r="K157" s="66"/>
      <c r="L157" s="66"/>
      <c r="M157" s="67">
        <v>1.0</v>
      </c>
      <c r="N157" s="66"/>
      <c r="P157" s="80">
        <v>16.0</v>
      </c>
      <c r="Q157" s="80" t="s">
        <v>316</v>
      </c>
      <c r="R157" s="82">
        <v>1.0</v>
      </c>
      <c r="S157" s="81"/>
      <c r="T157" s="81"/>
      <c r="U157" s="81"/>
      <c r="V157" s="81"/>
    </row>
    <row r="158">
      <c r="A158" s="55" t="s">
        <v>157</v>
      </c>
      <c r="H158" s="65">
        <v>26.0</v>
      </c>
      <c r="I158" s="65" t="s">
        <v>214</v>
      </c>
      <c r="J158" s="67">
        <v>1.0</v>
      </c>
      <c r="K158" s="66"/>
      <c r="L158" s="66"/>
      <c r="M158" s="66"/>
      <c r="N158" s="66"/>
      <c r="P158" s="80">
        <v>17.0</v>
      </c>
      <c r="Q158" s="80" t="s">
        <v>317</v>
      </c>
      <c r="R158" s="81"/>
      <c r="S158" s="81"/>
      <c r="T158" s="82">
        <v>1.0</v>
      </c>
      <c r="U158" s="81"/>
      <c r="V158" s="81"/>
    </row>
    <row r="159">
      <c r="A159" s="78" t="s">
        <v>318</v>
      </c>
      <c r="H159" s="65">
        <v>27.0</v>
      </c>
      <c r="I159" s="65" t="s">
        <v>319</v>
      </c>
      <c r="J159" s="67">
        <v>1.0</v>
      </c>
      <c r="K159" s="66"/>
      <c r="L159" s="66"/>
      <c r="M159" s="66"/>
      <c r="N159" s="66"/>
      <c r="P159" s="80">
        <v>31.0</v>
      </c>
      <c r="Q159" s="80" t="s">
        <v>320</v>
      </c>
      <c r="R159" s="81"/>
      <c r="S159" s="82">
        <v>1.0</v>
      </c>
      <c r="T159" s="81"/>
      <c r="U159" s="81"/>
      <c r="V159" s="81"/>
    </row>
    <row r="160">
      <c r="A160" s="78" t="s">
        <v>321</v>
      </c>
      <c r="H160" s="65">
        <v>33.0</v>
      </c>
      <c r="I160" s="65" t="s">
        <v>272</v>
      </c>
      <c r="J160" s="66"/>
      <c r="K160" s="66"/>
      <c r="L160" s="66"/>
      <c r="M160" s="66"/>
      <c r="N160" s="66"/>
      <c r="P160" s="80">
        <v>44.0</v>
      </c>
      <c r="Q160" s="80" t="s">
        <v>322</v>
      </c>
      <c r="R160" s="81"/>
      <c r="S160" s="81"/>
      <c r="T160" s="81"/>
      <c r="U160" s="81"/>
      <c r="V160" s="81"/>
    </row>
    <row r="161">
      <c r="A161" s="78" t="s">
        <v>323</v>
      </c>
      <c r="H161" s="65">
        <v>91.0</v>
      </c>
      <c r="I161" s="65" t="s">
        <v>223</v>
      </c>
      <c r="J161" s="66"/>
      <c r="K161" s="66"/>
      <c r="L161" s="67">
        <v>1.0</v>
      </c>
      <c r="M161" s="67">
        <v>1.0</v>
      </c>
      <c r="N161" s="66"/>
      <c r="P161" s="80">
        <v>47.0</v>
      </c>
      <c r="Q161" s="80" t="s">
        <v>324</v>
      </c>
      <c r="R161" s="81"/>
      <c r="S161" s="81"/>
      <c r="T161" s="81"/>
      <c r="U161" s="82">
        <v>1.0</v>
      </c>
      <c r="V161" s="81"/>
    </row>
    <row r="162">
      <c r="A162" s="78" t="s">
        <v>325</v>
      </c>
      <c r="H162" s="65">
        <v>93.0</v>
      </c>
      <c r="I162" s="65" t="s">
        <v>326</v>
      </c>
      <c r="J162" s="66"/>
      <c r="K162" s="66"/>
      <c r="L162" s="66"/>
      <c r="M162" s="66"/>
      <c r="N162" s="66"/>
      <c r="P162" s="80">
        <v>70.0</v>
      </c>
      <c r="Q162" s="80" t="s">
        <v>327</v>
      </c>
      <c r="R162" s="81"/>
      <c r="S162" s="81"/>
      <c r="T162" s="81"/>
      <c r="U162" s="81"/>
      <c r="V162" s="81"/>
    </row>
    <row r="163">
      <c r="A163" s="78" t="s">
        <v>328</v>
      </c>
      <c r="H163" s="65">
        <v>96.0</v>
      </c>
      <c r="I163" s="65" t="s">
        <v>329</v>
      </c>
      <c r="J163" s="66"/>
      <c r="K163" s="66"/>
      <c r="L163" s="67">
        <v>1.0</v>
      </c>
      <c r="M163" s="67">
        <v>1.0</v>
      </c>
      <c r="N163" s="66"/>
      <c r="P163" s="80">
        <v>99.0</v>
      </c>
      <c r="Q163" s="80" t="s">
        <v>330</v>
      </c>
      <c r="R163" s="81"/>
      <c r="S163" s="82">
        <v>2.0</v>
      </c>
      <c r="T163" s="82">
        <v>1.0</v>
      </c>
      <c r="U163" s="81"/>
      <c r="V163" s="81"/>
    </row>
    <row r="164">
      <c r="A164" s="78" t="s">
        <v>331</v>
      </c>
      <c r="H164" s="65">
        <v>17.0</v>
      </c>
      <c r="I164" s="65" t="s">
        <v>228</v>
      </c>
      <c r="J164" s="66"/>
      <c r="K164" s="66"/>
      <c r="L164" s="66"/>
      <c r="M164" s="66"/>
      <c r="N164" s="66"/>
      <c r="P164" s="80">
        <v>22.0</v>
      </c>
      <c r="Q164" s="80" t="s">
        <v>332</v>
      </c>
      <c r="R164" s="81"/>
      <c r="S164" s="81"/>
      <c r="T164" s="81"/>
      <c r="U164" s="81"/>
      <c r="V164" s="81"/>
    </row>
    <row r="165">
      <c r="A165" s="78" t="s">
        <v>333</v>
      </c>
      <c r="H165" s="65">
        <v>99.0</v>
      </c>
      <c r="I165" s="65" t="s">
        <v>231</v>
      </c>
      <c r="J165" s="66"/>
      <c r="K165" s="66"/>
      <c r="L165" s="66"/>
      <c r="M165" s="66"/>
      <c r="N165" s="66"/>
      <c r="P165" s="80">
        <v>0.0</v>
      </c>
      <c r="Q165" s="80" t="s">
        <v>334</v>
      </c>
      <c r="R165" s="81"/>
      <c r="S165" s="81"/>
      <c r="T165" s="81"/>
      <c r="U165" s="81"/>
      <c r="V165" s="81"/>
    </row>
    <row r="166">
      <c r="A166" s="78" t="s">
        <v>335</v>
      </c>
      <c r="H166" s="49"/>
      <c r="I166" s="49"/>
      <c r="J166" s="49"/>
      <c r="K166" s="49"/>
      <c r="L166" s="49"/>
      <c r="M166" s="49"/>
      <c r="N166" s="49"/>
    </row>
    <row r="167">
      <c r="A167" s="83" t="s">
        <v>336</v>
      </c>
    </row>
    <row r="168">
      <c r="A168" s="78" t="s">
        <v>337</v>
      </c>
    </row>
    <row r="169">
      <c r="A169" s="78" t="s">
        <v>338</v>
      </c>
    </row>
    <row r="170">
      <c r="A170" s="55" t="s">
        <v>166</v>
      </c>
    </row>
    <row r="171">
      <c r="A171" s="50" t="s">
        <v>237</v>
      </c>
      <c r="B171" s="58" t="s">
        <v>339</v>
      </c>
      <c r="C171" s="49" t="s">
        <v>340</v>
      </c>
    </row>
    <row r="172">
      <c r="A172" s="84">
        <v>46023.0</v>
      </c>
      <c r="B172" s="58" t="s">
        <v>341</v>
      </c>
      <c r="C172" s="49" t="s">
        <v>342</v>
      </c>
    </row>
    <row r="173">
      <c r="A173" s="84">
        <v>46054.0</v>
      </c>
      <c r="B173" s="58" t="s">
        <v>343</v>
      </c>
      <c r="C173" s="49" t="s">
        <v>344</v>
      </c>
    </row>
    <row r="174">
      <c r="A174" s="85">
        <v>46082.0</v>
      </c>
      <c r="B174" s="58" t="s">
        <v>345</v>
      </c>
      <c r="C174" s="49" t="s">
        <v>346</v>
      </c>
    </row>
    <row r="175">
      <c r="A175" s="85">
        <v>46113.0</v>
      </c>
      <c r="B175" s="58" t="s">
        <v>347</v>
      </c>
      <c r="C175" s="49" t="s">
        <v>348</v>
      </c>
    </row>
    <row r="176">
      <c r="A176" s="85">
        <v>46114.0</v>
      </c>
      <c r="B176" s="58" t="s">
        <v>349</v>
      </c>
      <c r="C176" s="49" t="s">
        <v>350</v>
      </c>
    </row>
    <row r="177">
      <c r="A177" s="58"/>
      <c r="B177" s="49"/>
    </row>
    <row r="178">
      <c r="A178" s="54" t="s">
        <v>351</v>
      </c>
      <c r="E178" s="49"/>
      <c r="F178" s="49"/>
      <c r="G178" s="49"/>
    </row>
    <row r="179">
      <c r="A179" s="55" t="s">
        <v>352</v>
      </c>
      <c r="B179" s="49"/>
      <c r="C179" s="49"/>
      <c r="D179" s="49"/>
      <c r="E179" s="49"/>
      <c r="F179" s="49"/>
      <c r="G179" s="49"/>
      <c r="H179" s="62" t="s">
        <v>182</v>
      </c>
      <c r="P179" s="62" t="s">
        <v>182</v>
      </c>
    </row>
    <row r="180">
      <c r="A180" s="78" t="s">
        <v>353</v>
      </c>
      <c r="G180" s="49"/>
    </row>
    <row r="181">
      <c r="A181" s="78" t="s">
        <v>354</v>
      </c>
      <c r="G181" s="49"/>
      <c r="H181" s="63" t="s">
        <v>1</v>
      </c>
      <c r="I181" s="63" t="s">
        <v>185</v>
      </c>
      <c r="J181" s="63">
        <v>1.0</v>
      </c>
      <c r="K181" s="63">
        <v>2.0</v>
      </c>
      <c r="L181" s="63">
        <v>3.0</v>
      </c>
      <c r="M181" s="63">
        <v>4.0</v>
      </c>
      <c r="N181" s="63" t="s">
        <v>186</v>
      </c>
      <c r="P181" s="86" t="s">
        <v>1</v>
      </c>
      <c r="Q181" s="86" t="s">
        <v>185</v>
      </c>
      <c r="R181" s="86">
        <v>1.0</v>
      </c>
      <c r="S181" s="86">
        <v>2.0</v>
      </c>
      <c r="T181" s="86">
        <v>3.0</v>
      </c>
      <c r="U181" s="86">
        <v>4.0</v>
      </c>
      <c r="V181" s="86" t="s">
        <v>186</v>
      </c>
    </row>
    <row r="182">
      <c r="A182" s="78" t="s">
        <v>355</v>
      </c>
      <c r="G182" s="49"/>
      <c r="H182" s="65">
        <v>3.0</v>
      </c>
      <c r="I182" s="65" t="s">
        <v>191</v>
      </c>
      <c r="J182" s="66"/>
      <c r="K182" s="66"/>
      <c r="L182" s="66"/>
      <c r="M182" s="67">
        <v>1.0</v>
      </c>
      <c r="N182" s="66"/>
      <c r="P182" s="87" t="s">
        <v>356</v>
      </c>
      <c r="Q182" s="87" t="s">
        <v>357</v>
      </c>
      <c r="R182" s="88"/>
      <c r="S182" s="88"/>
      <c r="T182" s="89">
        <v>1.0</v>
      </c>
      <c r="U182" s="88"/>
      <c r="V182" s="88"/>
    </row>
    <row r="183">
      <c r="A183" s="78" t="s">
        <v>358</v>
      </c>
      <c r="G183" s="49"/>
      <c r="H183" s="65">
        <v>5.0</v>
      </c>
      <c r="I183" s="65" t="s">
        <v>359</v>
      </c>
      <c r="J183" s="66"/>
      <c r="K183" s="66"/>
      <c r="L183" s="67">
        <v>1.0</v>
      </c>
      <c r="M183" s="67">
        <v>1.0</v>
      </c>
      <c r="N183" s="66"/>
      <c r="P183" s="87">
        <v>9.0</v>
      </c>
      <c r="Q183" s="87" t="s">
        <v>360</v>
      </c>
      <c r="R183" s="88"/>
      <c r="S183" s="88"/>
      <c r="T183" s="88"/>
      <c r="U183" s="88"/>
      <c r="V183" s="88"/>
    </row>
    <row r="184">
      <c r="A184" s="78" t="s">
        <v>361</v>
      </c>
      <c r="G184" s="49"/>
      <c r="H184" s="65">
        <v>6.0</v>
      </c>
      <c r="I184" s="65" t="s">
        <v>71</v>
      </c>
      <c r="J184" s="66"/>
      <c r="K184" s="66"/>
      <c r="L184" s="66"/>
      <c r="M184" s="66"/>
      <c r="N184" s="66"/>
      <c r="P184" s="87">
        <v>10.0</v>
      </c>
      <c r="Q184" s="87" t="s">
        <v>362</v>
      </c>
      <c r="R184" s="88"/>
      <c r="S184" s="88"/>
      <c r="T184" s="88"/>
      <c r="U184" s="88"/>
      <c r="V184" s="88"/>
    </row>
    <row r="185">
      <c r="A185" s="78" t="s">
        <v>363</v>
      </c>
      <c r="G185" s="49"/>
      <c r="H185" s="65">
        <v>8.0</v>
      </c>
      <c r="I185" s="65" t="s">
        <v>197</v>
      </c>
      <c r="J185" s="66"/>
      <c r="K185" s="66"/>
      <c r="L185" s="66"/>
      <c r="M185" s="66"/>
      <c r="N185" s="66"/>
      <c r="P185" s="87">
        <v>12.0</v>
      </c>
      <c r="Q185" s="87" t="s">
        <v>364</v>
      </c>
      <c r="R185" s="89">
        <v>1.0</v>
      </c>
      <c r="S185" s="88"/>
      <c r="T185" s="88"/>
      <c r="U185" s="88"/>
      <c r="V185" s="88"/>
    </row>
    <row r="186">
      <c r="A186" s="78" t="s">
        <v>365</v>
      </c>
      <c r="G186" s="49"/>
      <c r="H186" s="65">
        <v>11.0</v>
      </c>
      <c r="I186" s="65" t="s">
        <v>258</v>
      </c>
      <c r="J186" s="67">
        <v>1.0</v>
      </c>
      <c r="K186" s="67">
        <v>1.0</v>
      </c>
      <c r="L186" s="67">
        <v>1.0</v>
      </c>
      <c r="M186" s="66"/>
      <c r="N186" s="66"/>
      <c r="P186" s="87">
        <v>14.0</v>
      </c>
      <c r="Q186" s="87" t="s">
        <v>366</v>
      </c>
      <c r="R186" s="88"/>
      <c r="S186" s="88"/>
      <c r="T186" s="88"/>
      <c r="U186" s="88"/>
      <c r="V186" s="88"/>
    </row>
    <row r="187">
      <c r="A187" s="78" t="s">
        <v>367</v>
      </c>
      <c r="G187" s="49"/>
      <c r="H187" s="65">
        <v>12.0</v>
      </c>
      <c r="I187" s="65" t="s">
        <v>203</v>
      </c>
      <c r="J187" s="67">
        <v>1.0</v>
      </c>
      <c r="K187" s="66"/>
      <c r="L187" s="67">
        <v>1.0</v>
      </c>
      <c r="M187" s="66"/>
      <c r="N187" s="66"/>
      <c r="P187" s="87">
        <v>15.0</v>
      </c>
      <c r="Q187" s="87" t="s">
        <v>368</v>
      </c>
      <c r="R187" s="89">
        <v>1.0</v>
      </c>
      <c r="S187" s="88"/>
      <c r="T187" s="88"/>
      <c r="U187" s="89">
        <v>1.0</v>
      </c>
      <c r="V187" s="88"/>
    </row>
    <row r="188">
      <c r="A188" s="55" t="s">
        <v>369</v>
      </c>
      <c r="G188" s="49"/>
      <c r="H188" s="65">
        <v>19.0</v>
      </c>
      <c r="I188" s="65" t="s">
        <v>208</v>
      </c>
      <c r="J188" s="66"/>
      <c r="K188" s="66"/>
      <c r="L188" s="67">
        <v>1.0</v>
      </c>
      <c r="M188" s="66"/>
      <c r="N188" s="66"/>
      <c r="P188" s="87">
        <v>16.0</v>
      </c>
      <c r="Q188" s="87" t="s">
        <v>370</v>
      </c>
      <c r="R188" s="88"/>
      <c r="S188" s="88"/>
      <c r="T188" s="88"/>
      <c r="U188" s="89">
        <v>1.0</v>
      </c>
      <c r="V188" s="88"/>
    </row>
    <row r="189">
      <c r="A189" s="78" t="s">
        <v>371</v>
      </c>
      <c r="G189" s="49"/>
      <c r="H189" s="65">
        <v>23.0</v>
      </c>
      <c r="I189" s="65" t="s">
        <v>211</v>
      </c>
      <c r="J189" s="66"/>
      <c r="K189" s="66"/>
      <c r="L189" s="66"/>
      <c r="M189" s="66"/>
      <c r="N189" s="66"/>
      <c r="P189" s="87">
        <v>18.0</v>
      </c>
      <c r="Q189" s="87" t="s">
        <v>372</v>
      </c>
      <c r="R189" s="88"/>
      <c r="S189" s="89">
        <v>1.0</v>
      </c>
      <c r="T189" s="88"/>
      <c r="U189" s="89">
        <v>1.0</v>
      </c>
      <c r="V189" s="88"/>
    </row>
    <row r="190">
      <c r="A190" s="78" t="s">
        <v>373</v>
      </c>
      <c r="G190" s="49"/>
      <c r="H190" s="65">
        <v>25.0</v>
      </c>
      <c r="I190" s="65" t="s">
        <v>269</v>
      </c>
      <c r="J190" s="67">
        <v>1.0</v>
      </c>
      <c r="K190" s="66"/>
      <c r="L190" s="66"/>
      <c r="M190" s="66"/>
      <c r="N190" s="66"/>
      <c r="P190" s="87">
        <v>40.0</v>
      </c>
      <c r="Q190" s="87" t="s">
        <v>374</v>
      </c>
      <c r="R190" s="88"/>
      <c r="S190" s="89">
        <v>2.0</v>
      </c>
      <c r="T190" s="88"/>
      <c r="U190" s="88"/>
      <c r="V190" s="88"/>
    </row>
    <row r="191">
      <c r="A191" s="78" t="s">
        <v>375</v>
      </c>
      <c r="G191" s="49"/>
      <c r="H191" s="65">
        <v>26.0</v>
      </c>
      <c r="I191" s="65" t="s">
        <v>376</v>
      </c>
      <c r="J191" s="66"/>
      <c r="K191" s="67">
        <v>1.0</v>
      </c>
      <c r="L191" s="66"/>
      <c r="M191" s="67">
        <v>1.0</v>
      </c>
      <c r="N191" s="66"/>
      <c r="P191" s="87">
        <v>44.0</v>
      </c>
      <c r="Q191" s="87" t="s">
        <v>377</v>
      </c>
      <c r="R191" s="88"/>
      <c r="S191" s="88"/>
      <c r="T191" s="88"/>
      <c r="U191" s="88"/>
      <c r="V191" s="88"/>
    </row>
    <row r="192">
      <c r="A192" s="78" t="s">
        <v>378</v>
      </c>
      <c r="G192" s="49"/>
      <c r="H192" s="65">
        <v>27.0</v>
      </c>
      <c r="I192" s="65" t="s">
        <v>379</v>
      </c>
      <c r="J192" s="66"/>
      <c r="K192" s="66"/>
      <c r="L192" s="67">
        <v>1.0</v>
      </c>
      <c r="M192" s="67">
        <v>1.0</v>
      </c>
      <c r="N192" s="66"/>
      <c r="P192" s="87">
        <v>76.0</v>
      </c>
      <c r="Q192" s="87" t="s">
        <v>380</v>
      </c>
      <c r="R192" s="89">
        <v>1.0</v>
      </c>
      <c r="S192" s="88"/>
      <c r="T192" s="88"/>
      <c r="U192" s="89">
        <v>1.0</v>
      </c>
      <c r="V192" s="88"/>
    </row>
    <row r="193">
      <c r="A193" s="83" t="s">
        <v>381</v>
      </c>
      <c r="G193" s="49"/>
      <c r="H193" s="65">
        <v>33.0</v>
      </c>
      <c r="I193" s="65" t="s">
        <v>382</v>
      </c>
      <c r="J193" s="66"/>
      <c r="K193" s="66"/>
      <c r="L193" s="66"/>
      <c r="M193" s="67">
        <v>1.0</v>
      </c>
      <c r="N193" s="66"/>
      <c r="P193" s="87">
        <v>80.0</v>
      </c>
      <c r="Q193" s="87" t="s">
        <v>383</v>
      </c>
      <c r="R193" s="88"/>
      <c r="S193" s="88"/>
      <c r="T193" s="88"/>
      <c r="U193" s="88"/>
      <c r="V193" s="88"/>
    </row>
    <row r="194">
      <c r="A194" s="78" t="s">
        <v>384</v>
      </c>
      <c r="G194" s="49"/>
      <c r="H194" s="65">
        <v>91.0</v>
      </c>
      <c r="I194" s="65" t="s">
        <v>223</v>
      </c>
      <c r="J194" s="66"/>
      <c r="K194" s="66"/>
      <c r="L194" s="66"/>
      <c r="M194" s="67">
        <v>1.0</v>
      </c>
      <c r="N194" s="66"/>
      <c r="P194" s="87">
        <v>88.0</v>
      </c>
      <c r="Q194" s="87" t="s">
        <v>385</v>
      </c>
      <c r="R194" s="88"/>
      <c r="S194" s="88"/>
      <c r="T194" s="88"/>
      <c r="U194" s="88"/>
      <c r="V194" s="88"/>
    </row>
    <row r="195">
      <c r="A195" s="55" t="s">
        <v>386</v>
      </c>
      <c r="G195" s="49"/>
      <c r="H195" s="65">
        <v>96.0</v>
      </c>
      <c r="I195" s="65" t="s">
        <v>329</v>
      </c>
      <c r="J195" s="66"/>
      <c r="K195" s="67">
        <v>1.0</v>
      </c>
      <c r="L195" s="67">
        <v>1.0</v>
      </c>
      <c r="M195" s="66"/>
      <c r="N195" s="66"/>
      <c r="P195" s="87">
        <v>97.0</v>
      </c>
      <c r="Q195" s="87" t="s">
        <v>387</v>
      </c>
      <c r="R195" s="88"/>
      <c r="S195" s="88"/>
      <c r="T195" s="88"/>
      <c r="U195" s="88"/>
      <c r="V195" s="88"/>
    </row>
    <row r="196">
      <c r="A196" s="78" t="s">
        <v>388</v>
      </c>
      <c r="G196" s="49"/>
      <c r="H196" s="65">
        <v>17.0</v>
      </c>
      <c r="I196" s="65" t="s">
        <v>228</v>
      </c>
      <c r="J196" s="66"/>
      <c r="K196" s="66"/>
      <c r="L196" s="66"/>
      <c r="M196" s="66"/>
      <c r="N196" s="66"/>
      <c r="P196" s="87">
        <v>33.0</v>
      </c>
      <c r="Q196" s="87" t="s">
        <v>389</v>
      </c>
      <c r="R196" s="88"/>
      <c r="S196" s="88"/>
      <c r="T196" s="88"/>
      <c r="U196" s="88"/>
      <c r="V196" s="88"/>
    </row>
    <row r="197">
      <c r="A197" s="78" t="s">
        <v>390</v>
      </c>
      <c r="G197" s="49"/>
      <c r="H197" s="65">
        <v>99.0</v>
      </c>
      <c r="I197" s="65" t="s">
        <v>231</v>
      </c>
      <c r="J197" s="66"/>
      <c r="K197" s="66"/>
      <c r="L197" s="66"/>
      <c r="M197" s="66"/>
      <c r="N197" s="66"/>
      <c r="P197" s="87">
        <v>30.0</v>
      </c>
      <c r="Q197" s="87" t="s">
        <v>391</v>
      </c>
      <c r="R197" s="88"/>
      <c r="S197" s="88"/>
      <c r="T197" s="88"/>
      <c r="U197" s="88"/>
      <c r="V197" s="88"/>
    </row>
    <row r="198">
      <c r="A198" s="78" t="s">
        <v>392</v>
      </c>
      <c r="G198" s="49"/>
      <c r="H198" s="49"/>
      <c r="I198" s="49"/>
      <c r="J198" s="49"/>
      <c r="K198" s="49"/>
      <c r="L198" s="49"/>
      <c r="M198" s="49"/>
      <c r="N198" s="49"/>
    </row>
    <row r="199">
      <c r="A199" s="78" t="s">
        <v>393</v>
      </c>
      <c r="G199" s="49"/>
    </row>
    <row r="200">
      <c r="A200" s="78" t="s">
        <v>394</v>
      </c>
      <c r="G200" s="49"/>
    </row>
    <row r="201">
      <c r="A201" s="55" t="s">
        <v>395</v>
      </c>
    </row>
    <row r="202">
      <c r="A202" s="78" t="s">
        <v>396</v>
      </c>
      <c r="K202" s="62" t="s">
        <v>397</v>
      </c>
    </row>
    <row r="203">
      <c r="A203" s="78" t="s">
        <v>398</v>
      </c>
    </row>
    <row r="204">
      <c r="A204" s="78" t="s">
        <v>399</v>
      </c>
      <c r="K204" s="90" t="s">
        <v>400</v>
      </c>
      <c r="L204" s="90" t="s">
        <v>401</v>
      </c>
      <c r="M204" s="90" t="s">
        <v>402</v>
      </c>
    </row>
    <row r="205">
      <c r="A205" s="78" t="s">
        <v>403</v>
      </c>
      <c r="K205" s="91" t="s">
        <v>404</v>
      </c>
      <c r="L205" s="91" t="s">
        <v>405</v>
      </c>
      <c r="M205" s="91" t="s">
        <v>406</v>
      </c>
    </row>
    <row r="206">
      <c r="A206" s="78" t="s">
        <v>407</v>
      </c>
      <c r="K206" s="91" t="s">
        <v>404</v>
      </c>
      <c r="L206" s="91" t="s">
        <v>405</v>
      </c>
      <c r="M206" s="91" t="s">
        <v>408</v>
      </c>
    </row>
    <row r="207">
      <c r="A207" s="78" t="s">
        <v>409</v>
      </c>
    </row>
    <row r="208">
      <c r="A208" s="78" t="s">
        <v>410</v>
      </c>
    </row>
    <row r="209">
      <c r="A209" s="92" t="s">
        <v>166</v>
      </c>
      <c r="B209" s="49"/>
      <c r="C209" s="49"/>
      <c r="D209" s="49"/>
      <c r="E209" s="49"/>
      <c r="F209" s="49"/>
      <c r="G209" s="49"/>
    </row>
    <row r="210">
      <c r="A210" s="50" t="s">
        <v>237</v>
      </c>
      <c r="B210" s="58" t="s">
        <v>411</v>
      </c>
      <c r="C210" s="49" t="s">
        <v>412</v>
      </c>
    </row>
    <row r="211">
      <c r="A211" s="84">
        <v>46023.0</v>
      </c>
      <c r="B211" s="58" t="s">
        <v>413</v>
      </c>
      <c r="C211" s="49" t="s">
        <v>414</v>
      </c>
    </row>
    <row r="212">
      <c r="A212" s="84">
        <v>46054.0</v>
      </c>
      <c r="B212" s="58" t="s">
        <v>415</v>
      </c>
      <c r="C212" s="49" t="s">
        <v>416</v>
      </c>
    </row>
    <row r="213">
      <c r="A213" s="85">
        <v>46082.0</v>
      </c>
      <c r="B213" s="58" t="s">
        <v>417</v>
      </c>
      <c r="C213" s="49" t="s">
        <v>418</v>
      </c>
    </row>
    <row r="214">
      <c r="A214" s="85">
        <v>46113.0</v>
      </c>
      <c r="B214" s="58" t="s">
        <v>419</v>
      </c>
      <c r="C214" s="49" t="s">
        <v>420</v>
      </c>
    </row>
    <row r="215">
      <c r="A215" s="85">
        <v>46143.0</v>
      </c>
      <c r="B215" s="58" t="s">
        <v>421</v>
      </c>
      <c r="C215" s="49" t="s">
        <v>422</v>
      </c>
    </row>
    <row r="216">
      <c r="A216" s="85">
        <v>46144.0</v>
      </c>
      <c r="B216" s="58" t="s">
        <v>423</v>
      </c>
      <c r="C216" s="49" t="s">
        <v>424</v>
      </c>
    </row>
    <row r="217">
      <c r="A217" s="85">
        <v>46145.0</v>
      </c>
      <c r="B217" s="58" t="s">
        <v>425</v>
      </c>
      <c r="C217" s="49" t="s">
        <v>426</v>
      </c>
    </row>
    <row r="220">
      <c r="A220" s="54" t="s">
        <v>351</v>
      </c>
    </row>
    <row r="221">
      <c r="A221" s="55" t="s">
        <v>352</v>
      </c>
      <c r="B221" s="49"/>
      <c r="C221" s="49"/>
      <c r="D221" s="49"/>
      <c r="E221" s="49"/>
      <c r="F221" s="49"/>
      <c r="G221" s="49"/>
      <c r="H221" s="62" t="s">
        <v>182</v>
      </c>
    </row>
    <row r="222">
      <c r="A222" s="78" t="s">
        <v>427</v>
      </c>
      <c r="G222" s="49"/>
    </row>
    <row r="223">
      <c r="A223" s="78" t="s">
        <v>428</v>
      </c>
      <c r="G223" s="49"/>
      <c r="H223" s="93" t="s">
        <v>1</v>
      </c>
      <c r="I223" s="93" t="s">
        <v>185</v>
      </c>
      <c r="J223" s="93">
        <v>1.0</v>
      </c>
      <c r="K223" s="93">
        <v>2.0</v>
      </c>
      <c r="L223" s="93">
        <v>3.0</v>
      </c>
      <c r="M223" s="93">
        <v>4.0</v>
      </c>
      <c r="N223" s="93" t="s">
        <v>186</v>
      </c>
    </row>
    <row r="224">
      <c r="A224" s="78" t="s">
        <v>429</v>
      </c>
      <c r="G224" s="49"/>
      <c r="H224" s="94">
        <v>3.0</v>
      </c>
      <c r="I224" s="94" t="s">
        <v>191</v>
      </c>
      <c r="J224" s="66"/>
      <c r="K224" s="66"/>
      <c r="L224" s="95">
        <v>1.0</v>
      </c>
      <c r="M224" s="66"/>
      <c r="N224" s="66"/>
    </row>
    <row r="225">
      <c r="A225" s="78" t="s">
        <v>430</v>
      </c>
      <c r="G225" s="49"/>
      <c r="H225" s="94">
        <v>5.0</v>
      </c>
      <c r="I225" s="94" t="s">
        <v>359</v>
      </c>
      <c r="J225" s="66"/>
      <c r="K225" s="66"/>
      <c r="L225" s="66"/>
      <c r="M225" s="66"/>
      <c r="N225" s="66"/>
    </row>
    <row r="226">
      <c r="A226" s="78" t="s">
        <v>431</v>
      </c>
      <c r="G226" s="49"/>
      <c r="H226" s="94">
        <v>6.0</v>
      </c>
      <c r="I226" s="94" t="s">
        <v>71</v>
      </c>
      <c r="J226" s="66"/>
      <c r="K226" s="66"/>
      <c r="L226" s="66"/>
      <c r="M226" s="66"/>
      <c r="N226" s="66"/>
    </row>
    <row r="227">
      <c r="A227" s="78" t="s">
        <v>432</v>
      </c>
      <c r="G227" s="49"/>
      <c r="H227" s="94">
        <v>12.0</v>
      </c>
      <c r="I227" s="94" t="s">
        <v>203</v>
      </c>
      <c r="J227" s="95">
        <v>1.0</v>
      </c>
      <c r="K227" s="66"/>
      <c r="L227" s="95">
        <v>1.0</v>
      </c>
      <c r="M227" s="66"/>
      <c r="N227" s="66"/>
    </row>
    <row r="228">
      <c r="A228" s="78" t="s">
        <v>433</v>
      </c>
      <c r="G228" s="49"/>
      <c r="H228" s="94">
        <v>14.0</v>
      </c>
      <c r="I228" s="94" t="s">
        <v>205</v>
      </c>
      <c r="J228" s="66"/>
      <c r="K228" s="95">
        <v>1.0</v>
      </c>
      <c r="L228" s="66"/>
      <c r="M228" s="66"/>
      <c r="N228" s="66"/>
    </row>
    <row r="229">
      <c r="A229" s="78" t="s">
        <v>434</v>
      </c>
      <c r="G229" s="49"/>
      <c r="H229" s="94">
        <v>19.0</v>
      </c>
      <c r="I229" s="94" t="s">
        <v>208</v>
      </c>
      <c r="J229" s="95">
        <v>1.0</v>
      </c>
      <c r="K229" s="66"/>
      <c r="L229" s="66"/>
      <c r="M229" s="66"/>
      <c r="N229" s="66"/>
    </row>
    <row r="230">
      <c r="A230" s="55" t="s">
        <v>369</v>
      </c>
      <c r="H230" s="94">
        <v>23.0</v>
      </c>
      <c r="I230" s="94" t="s">
        <v>211</v>
      </c>
      <c r="J230" s="66"/>
      <c r="K230" s="66"/>
      <c r="L230" s="66"/>
      <c r="M230" s="66"/>
      <c r="N230" s="66"/>
    </row>
    <row r="231">
      <c r="A231" s="78" t="s">
        <v>435</v>
      </c>
      <c r="H231" s="94">
        <v>25.0</v>
      </c>
      <c r="I231" s="94" t="s">
        <v>269</v>
      </c>
      <c r="J231" s="66"/>
      <c r="K231" s="66"/>
      <c r="L231" s="66"/>
      <c r="M231" s="66"/>
      <c r="N231" s="66"/>
    </row>
    <row r="232">
      <c r="A232" s="78" t="s">
        <v>436</v>
      </c>
      <c r="H232" s="94">
        <v>26.0</v>
      </c>
      <c r="I232" s="94" t="s">
        <v>376</v>
      </c>
      <c r="J232" s="66"/>
      <c r="K232" s="95">
        <v>1.0</v>
      </c>
      <c r="L232" s="66"/>
      <c r="M232" s="66"/>
      <c r="N232" s="66"/>
    </row>
    <row r="233">
      <c r="A233" s="78" t="s">
        <v>437</v>
      </c>
      <c r="H233" s="94">
        <v>33.0</v>
      </c>
      <c r="I233" s="94" t="s">
        <v>382</v>
      </c>
      <c r="J233" s="66"/>
      <c r="K233" s="95">
        <v>1.0</v>
      </c>
      <c r="L233" s="96" t="s">
        <v>438</v>
      </c>
      <c r="M233" s="66"/>
      <c r="N233" s="66"/>
    </row>
    <row r="234">
      <c r="A234" s="55" t="s">
        <v>386</v>
      </c>
      <c r="H234" s="94">
        <v>70.0</v>
      </c>
      <c r="I234" s="94" t="s">
        <v>439</v>
      </c>
      <c r="J234" s="66"/>
      <c r="K234" s="66"/>
      <c r="L234" s="66"/>
      <c r="M234" s="66"/>
      <c r="N234" s="66"/>
    </row>
    <row r="235">
      <c r="A235" s="78" t="s">
        <v>440</v>
      </c>
      <c r="H235" s="94">
        <v>91.0</v>
      </c>
      <c r="I235" s="94" t="s">
        <v>223</v>
      </c>
      <c r="J235" s="66"/>
      <c r="K235" s="66"/>
      <c r="L235" s="95">
        <v>1.0</v>
      </c>
      <c r="M235" s="66"/>
      <c r="N235" s="66"/>
    </row>
    <row r="236">
      <c r="A236" s="78" t="s">
        <v>441</v>
      </c>
      <c r="H236" s="94">
        <v>93.0</v>
      </c>
      <c r="I236" s="94" t="s">
        <v>326</v>
      </c>
      <c r="J236" s="66"/>
      <c r="K236" s="66"/>
      <c r="L236" s="66"/>
      <c r="M236" s="95">
        <v>1.0</v>
      </c>
      <c r="N236" s="66"/>
      <c r="P236" s="62" t="s">
        <v>442</v>
      </c>
    </row>
    <row r="237">
      <c r="A237" s="78" t="s">
        <v>443</v>
      </c>
      <c r="H237" s="94">
        <v>96.0</v>
      </c>
      <c r="I237" s="94" t="s">
        <v>329</v>
      </c>
      <c r="J237" s="66"/>
      <c r="K237" s="66"/>
      <c r="L237" s="66"/>
      <c r="M237" s="66"/>
      <c r="N237" s="66"/>
    </row>
    <row r="238">
      <c r="A238" s="78" t="s">
        <v>444</v>
      </c>
      <c r="H238" s="94">
        <v>17.0</v>
      </c>
      <c r="I238" s="94" t="s">
        <v>228</v>
      </c>
      <c r="J238" s="66"/>
      <c r="K238" s="66"/>
      <c r="L238" s="66"/>
      <c r="M238" s="66"/>
      <c r="N238" s="66"/>
      <c r="P238" s="90" t="s">
        <v>400</v>
      </c>
      <c r="Q238" s="90" t="s">
        <v>401</v>
      </c>
      <c r="R238" s="90" t="s">
        <v>402</v>
      </c>
    </row>
    <row r="239">
      <c r="A239" s="78" t="s">
        <v>445</v>
      </c>
      <c r="H239" s="94">
        <v>99.0</v>
      </c>
      <c r="I239" s="94" t="s">
        <v>231</v>
      </c>
      <c r="J239" s="66"/>
      <c r="K239" s="66"/>
      <c r="L239" s="66"/>
      <c r="M239" s="66"/>
      <c r="N239" s="66"/>
      <c r="P239" s="91" t="s">
        <v>446</v>
      </c>
      <c r="Q239" s="91" t="s">
        <v>447</v>
      </c>
      <c r="R239" s="91" t="s">
        <v>448</v>
      </c>
    </row>
    <row r="240">
      <c r="A240" s="78" t="s">
        <v>449</v>
      </c>
      <c r="H240" s="49"/>
      <c r="I240" s="49"/>
      <c r="J240" s="49"/>
      <c r="K240" s="49"/>
      <c r="L240" s="49"/>
      <c r="M240" s="49"/>
      <c r="N240" s="49"/>
      <c r="P240" s="91" t="s">
        <v>450</v>
      </c>
      <c r="Q240" s="91" t="s">
        <v>451</v>
      </c>
      <c r="R240" s="91" t="s">
        <v>452</v>
      </c>
    </row>
    <row r="241">
      <c r="A241" s="55" t="s">
        <v>395</v>
      </c>
      <c r="H241" s="62" t="s">
        <v>182</v>
      </c>
      <c r="P241" s="91" t="s">
        <v>453</v>
      </c>
      <c r="Q241" s="91" t="s">
        <v>454</v>
      </c>
      <c r="R241" s="91" t="s">
        <v>455</v>
      </c>
    </row>
    <row r="242">
      <c r="A242" s="78" t="s">
        <v>456</v>
      </c>
      <c r="P242" s="91" t="s">
        <v>457</v>
      </c>
      <c r="Q242" s="91" t="s">
        <v>458</v>
      </c>
      <c r="R242" s="91" t="s">
        <v>459</v>
      </c>
    </row>
    <row r="243">
      <c r="A243" s="78" t="s">
        <v>460</v>
      </c>
      <c r="H243" s="97" t="s">
        <v>1</v>
      </c>
      <c r="I243" s="97" t="s">
        <v>185</v>
      </c>
      <c r="J243" s="97">
        <v>1.0</v>
      </c>
      <c r="K243" s="97">
        <v>2.0</v>
      </c>
      <c r="L243" s="97">
        <v>3.0</v>
      </c>
      <c r="M243" s="97">
        <v>4.0</v>
      </c>
      <c r="N243" s="97" t="s">
        <v>186</v>
      </c>
      <c r="P243" s="91" t="s">
        <v>461</v>
      </c>
      <c r="Q243" s="91" t="s">
        <v>462</v>
      </c>
      <c r="R243" s="91" t="s">
        <v>463</v>
      </c>
    </row>
    <row r="244">
      <c r="A244" s="83" t="s">
        <v>464</v>
      </c>
      <c r="H244" s="98">
        <v>2.0</v>
      </c>
      <c r="I244" s="98" t="s">
        <v>465</v>
      </c>
      <c r="J244" s="99">
        <v>1.0</v>
      </c>
      <c r="K244" s="100"/>
      <c r="L244" s="99">
        <v>1.0</v>
      </c>
      <c r="M244" s="100"/>
      <c r="N244" s="101" t="s">
        <v>438</v>
      </c>
      <c r="P244" s="91" t="s">
        <v>466</v>
      </c>
      <c r="Q244" s="91" t="s">
        <v>467</v>
      </c>
      <c r="R244" s="91" t="s">
        <v>468</v>
      </c>
    </row>
    <row r="245">
      <c r="A245" s="78" t="s">
        <v>469</v>
      </c>
      <c r="H245" s="98">
        <v>4.0</v>
      </c>
      <c r="I245" s="98" t="s">
        <v>470</v>
      </c>
      <c r="J245" s="100"/>
      <c r="K245" s="100"/>
      <c r="L245" s="100"/>
      <c r="M245" s="100"/>
      <c r="N245" s="100"/>
      <c r="P245" s="102"/>
      <c r="Q245" s="102"/>
      <c r="R245" s="102"/>
    </row>
    <row r="246">
      <c r="A246" s="78" t="s">
        <v>471</v>
      </c>
      <c r="H246" s="98">
        <v>5.0</v>
      </c>
      <c r="I246" s="98" t="s">
        <v>472</v>
      </c>
      <c r="J246" s="100"/>
      <c r="K246" s="99">
        <v>1.0</v>
      </c>
      <c r="L246" s="100"/>
      <c r="M246" s="100"/>
      <c r="N246" s="100"/>
      <c r="P246" s="102"/>
      <c r="Q246" s="102"/>
      <c r="R246" s="102"/>
    </row>
    <row r="247">
      <c r="A247" s="92" t="s">
        <v>166</v>
      </c>
      <c r="G247" s="49"/>
      <c r="H247" s="98">
        <v>7.0</v>
      </c>
      <c r="I247" s="98" t="s">
        <v>473</v>
      </c>
      <c r="J247" s="100"/>
      <c r="K247" s="100"/>
      <c r="L247" s="99">
        <v>2.0</v>
      </c>
      <c r="M247" s="100"/>
      <c r="N247" s="100"/>
    </row>
    <row r="248">
      <c r="A248" s="50" t="s">
        <v>474</v>
      </c>
      <c r="B248" s="58" t="s">
        <v>475</v>
      </c>
      <c r="C248" s="49" t="s">
        <v>476</v>
      </c>
      <c r="H248" s="98">
        <v>11.0</v>
      </c>
      <c r="I248" s="98" t="s">
        <v>477</v>
      </c>
      <c r="J248" s="99">
        <v>1.0</v>
      </c>
      <c r="K248" s="100"/>
      <c r="L248" s="100"/>
      <c r="M248" s="99">
        <v>1.0</v>
      </c>
      <c r="N248" s="100"/>
    </row>
    <row r="249">
      <c r="A249" s="49" t="s">
        <v>478</v>
      </c>
      <c r="B249" s="58" t="s">
        <v>479</v>
      </c>
      <c r="C249" s="49" t="s">
        <v>480</v>
      </c>
      <c r="H249" s="98">
        <v>12.0</v>
      </c>
      <c r="I249" s="98" t="s">
        <v>481</v>
      </c>
      <c r="J249" s="100"/>
      <c r="K249" s="99">
        <v>1.0</v>
      </c>
      <c r="L249" s="100"/>
      <c r="M249" s="100"/>
      <c r="N249" s="100"/>
    </row>
    <row r="250">
      <c r="A250" s="84">
        <v>46054.0</v>
      </c>
      <c r="B250" s="103" t="s">
        <v>482</v>
      </c>
      <c r="C250" s="49" t="s">
        <v>483</v>
      </c>
      <c r="H250" s="98">
        <v>14.0</v>
      </c>
      <c r="I250" s="98" t="s">
        <v>484</v>
      </c>
      <c r="J250" s="100"/>
      <c r="K250" s="100"/>
      <c r="L250" s="100"/>
      <c r="M250" s="99">
        <v>1.0</v>
      </c>
      <c r="N250" s="100"/>
    </row>
    <row r="251">
      <c r="A251" s="85">
        <v>46082.0</v>
      </c>
      <c r="B251" s="58" t="s">
        <v>485</v>
      </c>
      <c r="C251" s="49" t="s">
        <v>486</v>
      </c>
      <c r="H251" s="98">
        <v>22.0</v>
      </c>
      <c r="I251" s="98" t="s">
        <v>487</v>
      </c>
      <c r="J251" s="100"/>
      <c r="K251" s="100"/>
      <c r="L251" s="100"/>
      <c r="M251" s="100"/>
      <c r="N251" s="100"/>
    </row>
    <row r="252">
      <c r="A252" s="85">
        <v>46083.0</v>
      </c>
      <c r="B252" s="58" t="s">
        <v>488</v>
      </c>
      <c r="C252" s="49" t="s">
        <v>489</v>
      </c>
      <c r="H252" s="98">
        <v>24.0</v>
      </c>
      <c r="I252" s="98" t="s">
        <v>490</v>
      </c>
      <c r="J252" s="99">
        <v>1.0</v>
      </c>
      <c r="K252" s="100"/>
      <c r="L252" s="99">
        <v>1.0</v>
      </c>
      <c r="M252" s="99">
        <v>1.0</v>
      </c>
      <c r="N252" s="100"/>
    </row>
    <row r="253">
      <c r="A253" s="85">
        <v>46114.0</v>
      </c>
      <c r="B253" s="58" t="s">
        <v>491</v>
      </c>
      <c r="C253" s="49" t="s">
        <v>492</v>
      </c>
      <c r="H253" s="98">
        <v>25.0</v>
      </c>
      <c r="I253" s="98" t="s">
        <v>493</v>
      </c>
      <c r="J253" s="100"/>
      <c r="K253" s="100"/>
      <c r="L253" s="100"/>
      <c r="M253" s="100"/>
      <c r="N253" s="100"/>
    </row>
    <row r="254">
      <c r="A254" s="85">
        <v>46115.0</v>
      </c>
      <c r="B254" s="58" t="s">
        <v>494</v>
      </c>
      <c r="C254" s="49" t="s">
        <v>495</v>
      </c>
      <c r="H254" s="98">
        <v>30.0</v>
      </c>
      <c r="I254" s="98" t="s">
        <v>496</v>
      </c>
      <c r="J254" s="100"/>
      <c r="K254" s="99">
        <v>1.0</v>
      </c>
      <c r="L254" s="99">
        <v>1.0</v>
      </c>
      <c r="M254" s="100"/>
      <c r="N254" s="100"/>
    </row>
    <row r="255">
      <c r="A255" s="85">
        <v>46145.0</v>
      </c>
      <c r="B255" s="58" t="s">
        <v>497</v>
      </c>
      <c r="C255" s="49" t="s">
        <v>498</v>
      </c>
      <c r="H255" s="98">
        <v>33.0</v>
      </c>
      <c r="I255" s="98" t="s">
        <v>499</v>
      </c>
      <c r="J255" s="100"/>
      <c r="K255" s="100"/>
      <c r="L255" s="100"/>
      <c r="M255" s="100"/>
      <c r="N255" s="100"/>
    </row>
    <row r="256">
      <c r="A256" s="85">
        <v>46146.0</v>
      </c>
      <c r="B256" s="58" t="s">
        <v>500</v>
      </c>
      <c r="C256" s="49" t="s">
        <v>501</v>
      </c>
      <c r="H256" s="98">
        <v>80.0</v>
      </c>
      <c r="I256" s="98" t="s">
        <v>502</v>
      </c>
      <c r="J256" s="99">
        <v>1.0</v>
      </c>
      <c r="K256" s="100"/>
      <c r="L256" s="100"/>
      <c r="M256" s="100"/>
      <c r="N256" s="100"/>
    </row>
    <row r="257">
      <c r="A257" s="84">
        <v>46147.0</v>
      </c>
      <c r="B257" s="49" t="s">
        <v>503</v>
      </c>
      <c r="C257" s="49" t="s">
        <v>504</v>
      </c>
      <c r="H257" s="98">
        <v>93.0</v>
      </c>
      <c r="I257" s="98" t="s">
        <v>505</v>
      </c>
      <c r="J257" s="100"/>
      <c r="K257" s="100"/>
      <c r="L257" s="100"/>
      <c r="M257" s="100"/>
      <c r="N257" s="100"/>
    </row>
    <row r="258">
      <c r="A258" s="84">
        <v>46178.0</v>
      </c>
      <c r="B258" s="49" t="s">
        <v>457</v>
      </c>
      <c r="C258" s="49" t="s">
        <v>506</v>
      </c>
      <c r="H258" s="98">
        <v>0.0</v>
      </c>
      <c r="I258" s="98" t="s">
        <v>507</v>
      </c>
      <c r="J258" s="100"/>
      <c r="K258" s="100"/>
      <c r="L258" s="100"/>
      <c r="M258" s="100"/>
      <c r="N258" s="101" t="s">
        <v>438</v>
      </c>
    </row>
    <row r="259">
      <c r="A259" s="84">
        <v>46208.0</v>
      </c>
      <c r="B259" s="49" t="s">
        <v>508</v>
      </c>
      <c r="C259" s="49" t="s">
        <v>509</v>
      </c>
      <c r="H259" s="98">
        <v>1.0</v>
      </c>
      <c r="I259" s="98" t="s">
        <v>510</v>
      </c>
      <c r="J259" s="100"/>
      <c r="K259" s="100"/>
      <c r="L259" s="100"/>
      <c r="M259" s="100"/>
      <c r="N259" s="100"/>
    </row>
    <row r="260">
      <c r="A260" s="84">
        <v>46239.0</v>
      </c>
      <c r="B260" s="49" t="s">
        <v>511</v>
      </c>
      <c r="C260" s="49" t="s">
        <v>512</v>
      </c>
      <c r="D260" s="49"/>
      <c r="E260" s="49"/>
      <c r="F260" s="49"/>
      <c r="G260" s="49"/>
    </row>
    <row r="261">
      <c r="A261" s="78"/>
    </row>
    <row r="262">
      <c r="A262" s="78"/>
    </row>
    <row r="263">
      <c r="A263" s="78"/>
    </row>
    <row r="264">
      <c r="A264" s="54" t="s">
        <v>351</v>
      </c>
    </row>
    <row r="265">
      <c r="A265" s="55" t="s">
        <v>513</v>
      </c>
      <c r="B265" s="49"/>
      <c r="C265" s="49"/>
      <c r="D265" s="49"/>
      <c r="E265" s="49"/>
      <c r="F265" s="49"/>
      <c r="H265" s="62" t="s">
        <v>182</v>
      </c>
      <c r="P265" s="62" t="s">
        <v>442</v>
      </c>
    </row>
    <row r="266">
      <c r="A266" s="78" t="s">
        <v>514</v>
      </c>
    </row>
    <row r="267">
      <c r="A267" s="78" t="s">
        <v>515</v>
      </c>
      <c r="H267" s="93" t="s">
        <v>1</v>
      </c>
      <c r="I267" s="93" t="s">
        <v>185</v>
      </c>
      <c r="J267" s="93">
        <v>1.0</v>
      </c>
      <c r="K267" s="93">
        <v>2.0</v>
      </c>
      <c r="L267" s="93">
        <v>3.0</v>
      </c>
      <c r="M267" s="93">
        <v>4.0</v>
      </c>
      <c r="N267" s="93" t="s">
        <v>186</v>
      </c>
      <c r="P267" s="90" t="s">
        <v>400</v>
      </c>
      <c r="Q267" s="90" t="s">
        <v>401</v>
      </c>
      <c r="R267" s="90" t="s">
        <v>402</v>
      </c>
    </row>
    <row r="268">
      <c r="A268" s="78" t="s">
        <v>516</v>
      </c>
      <c r="H268" s="94">
        <v>2.0</v>
      </c>
      <c r="I268" s="94" t="s">
        <v>188</v>
      </c>
      <c r="J268" s="66"/>
      <c r="K268" s="66"/>
      <c r="L268" s="66"/>
      <c r="M268" s="66"/>
      <c r="N268" s="66"/>
      <c r="P268" s="91" t="s">
        <v>517</v>
      </c>
      <c r="Q268" s="91" t="s">
        <v>518</v>
      </c>
      <c r="R268" s="91" t="s">
        <v>519</v>
      </c>
    </row>
    <row r="269">
      <c r="A269" s="78" t="s">
        <v>520</v>
      </c>
      <c r="H269" s="94">
        <v>3.0</v>
      </c>
      <c r="I269" s="94" t="s">
        <v>191</v>
      </c>
      <c r="J269" s="66"/>
      <c r="K269" s="66"/>
      <c r="L269" s="66"/>
      <c r="M269" s="66"/>
      <c r="N269" s="66"/>
      <c r="P269" s="91" t="s">
        <v>521</v>
      </c>
      <c r="Q269" s="91" t="s">
        <v>522</v>
      </c>
      <c r="R269" s="91" t="s">
        <v>523</v>
      </c>
    </row>
    <row r="270">
      <c r="A270" s="78" t="s">
        <v>524</v>
      </c>
      <c r="H270" s="94">
        <v>5.0</v>
      </c>
      <c r="I270" s="94" t="s">
        <v>359</v>
      </c>
      <c r="J270" s="66"/>
      <c r="K270" s="66"/>
      <c r="L270" s="66"/>
      <c r="M270" s="66"/>
      <c r="N270" s="66"/>
      <c r="P270" s="102"/>
      <c r="Q270" s="102"/>
      <c r="R270" s="91" t="s">
        <v>525</v>
      </c>
    </row>
    <row r="271">
      <c r="A271" s="83" t="s">
        <v>526</v>
      </c>
      <c r="H271" s="94">
        <v>6.0</v>
      </c>
      <c r="I271" s="94" t="s">
        <v>71</v>
      </c>
      <c r="J271" s="66"/>
      <c r="K271" s="66"/>
      <c r="L271" s="66"/>
      <c r="M271" s="66"/>
      <c r="N271" s="66"/>
      <c r="P271" s="91" t="s">
        <v>527</v>
      </c>
      <c r="Q271" s="91" t="s">
        <v>528</v>
      </c>
      <c r="R271" s="91" t="s">
        <v>529</v>
      </c>
    </row>
    <row r="272">
      <c r="A272" s="78" t="s">
        <v>530</v>
      </c>
      <c r="H272" s="94">
        <v>11.0</v>
      </c>
      <c r="I272" s="94" t="s">
        <v>531</v>
      </c>
      <c r="J272" s="95">
        <v>1.0</v>
      </c>
      <c r="K272" s="66"/>
      <c r="L272" s="66"/>
      <c r="M272" s="66"/>
      <c r="N272" s="66"/>
      <c r="P272" s="91" t="s">
        <v>532</v>
      </c>
      <c r="Q272" s="91" t="s">
        <v>533</v>
      </c>
      <c r="R272" s="91" t="s">
        <v>534</v>
      </c>
    </row>
    <row r="273">
      <c r="A273" s="78" t="s">
        <v>535</v>
      </c>
      <c r="H273" s="94">
        <v>12.0</v>
      </c>
      <c r="I273" s="94" t="s">
        <v>203</v>
      </c>
      <c r="J273" s="66"/>
      <c r="K273" s="66"/>
      <c r="L273" s="66"/>
      <c r="M273" s="95">
        <v>1.0</v>
      </c>
      <c r="N273" s="66"/>
      <c r="P273" s="91" t="s">
        <v>536</v>
      </c>
      <c r="Q273" s="91" t="s">
        <v>522</v>
      </c>
      <c r="R273" s="91" t="s">
        <v>537</v>
      </c>
    </row>
    <row r="274">
      <c r="A274" s="78" t="s">
        <v>538</v>
      </c>
      <c r="H274" s="94">
        <v>14.0</v>
      </c>
      <c r="I274" s="94" t="s">
        <v>205</v>
      </c>
      <c r="J274" s="66"/>
      <c r="K274" s="95">
        <v>1.0</v>
      </c>
      <c r="L274" s="66"/>
      <c r="M274" s="66"/>
      <c r="N274" s="66"/>
      <c r="P274" s="102"/>
      <c r="Q274" s="102"/>
      <c r="R274" s="102"/>
    </row>
    <row r="275">
      <c r="A275" s="78" t="s">
        <v>539</v>
      </c>
      <c r="H275" s="94">
        <v>19.0</v>
      </c>
      <c r="I275" s="94" t="s">
        <v>208</v>
      </c>
      <c r="J275" s="66"/>
      <c r="K275" s="66"/>
      <c r="L275" s="95">
        <v>1.0</v>
      </c>
      <c r="M275" s="66"/>
      <c r="N275" s="66"/>
      <c r="P275" s="102"/>
      <c r="Q275" s="102"/>
      <c r="R275" s="102"/>
    </row>
    <row r="276">
      <c r="A276" s="78" t="s">
        <v>540</v>
      </c>
      <c r="H276" s="94">
        <v>22.0</v>
      </c>
      <c r="I276" s="94" t="s">
        <v>541</v>
      </c>
      <c r="J276" s="66"/>
      <c r="K276" s="66"/>
      <c r="L276" s="66"/>
      <c r="M276" s="66"/>
      <c r="N276" s="66"/>
      <c r="O276" s="49"/>
    </row>
    <row r="277">
      <c r="A277" s="47" t="s">
        <v>157</v>
      </c>
      <c r="H277" s="94">
        <v>23.0</v>
      </c>
      <c r="I277" s="94" t="s">
        <v>211</v>
      </c>
      <c r="J277" s="66"/>
      <c r="K277" s="66"/>
      <c r="L277" s="66"/>
      <c r="M277" s="66"/>
      <c r="N277" s="66"/>
    </row>
    <row r="278">
      <c r="A278" s="78" t="s">
        <v>542</v>
      </c>
      <c r="H278" s="94">
        <v>26.0</v>
      </c>
      <c r="I278" s="94" t="s">
        <v>376</v>
      </c>
      <c r="J278" s="66"/>
      <c r="K278" s="95">
        <v>1.0</v>
      </c>
      <c r="L278" s="66"/>
      <c r="M278" s="66"/>
      <c r="N278" s="66"/>
    </row>
    <row r="279">
      <c r="A279" s="78" t="s">
        <v>543</v>
      </c>
      <c r="H279" s="94">
        <v>53.0</v>
      </c>
      <c r="I279" s="94" t="s">
        <v>275</v>
      </c>
      <c r="J279" s="66"/>
      <c r="K279" s="66"/>
      <c r="L279" s="95">
        <v>1.0</v>
      </c>
      <c r="M279" s="66"/>
      <c r="N279" s="66"/>
    </row>
    <row r="280">
      <c r="A280" s="83" t="s">
        <v>544</v>
      </c>
      <c r="H280" s="94">
        <v>66.0</v>
      </c>
      <c r="I280" s="94" t="s">
        <v>217</v>
      </c>
      <c r="J280" s="66"/>
      <c r="K280" s="66"/>
      <c r="L280" s="95">
        <v>1.0</v>
      </c>
      <c r="M280" s="66"/>
      <c r="N280" s="66"/>
    </row>
    <row r="281">
      <c r="A281" s="78" t="s">
        <v>545</v>
      </c>
      <c r="H281" s="94">
        <v>91.0</v>
      </c>
      <c r="I281" s="94" t="s">
        <v>223</v>
      </c>
      <c r="J281" s="66"/>
      <c r="K281" s="66"/>
      <c r="L281" s="66"/>
      <c r="M281" s="95">
        <v>1.0</v>
      </c>
      <c r="N281" s="66"/>
    </row>
    <row r="282">
      <c r="A282" s="78" t="s">
        <v>546</v>
      </c>
      <c r="H282" s="94">
        <v>17.0</v>
      </c>
      <c r="I282" s="94" t="s">
        <v>228</v>
      </c>
      <c r="J282" s="66"/>
      <c r="K282" s="66"/>
      <c r="L282" s="66"/>
      <c r="M282" s="66"/>
      <c r="N282" s="66"/>
    </row>
    <row r="283">
      <c r="A283" s="78" t="s">
        <v>547</v>
      </c>
      <c r="H283" s="94">
        <v>99.0</v>
      </c>
      <c r="I283" s="94" t="s">
        <v>231</v>
      </c>
      <c r="J283" s="66"/>
      <c r="K283" s="66"/>
      <c r="L283" s="66"/>
      <c r="M283" s="66"/>
      <c r="N283" s="66"/>
    </row>
    <row r="284">
      <c r="A284" s="104" t="s">
        <v>548</v>
      </c>
      <c r="H284" s="49"/>
      <c r="I284" s="49"/>
      <c r="J284" s="49"/>
      <c r="K284" s="49"/>
      <c r="L284" s="49"/>
      <c r="M284" s="49"/>
      <c r="N284" s="49"/>
    </row>
    <row r="285">
      <c r="A285" s="78" t="s">
        <v>549</v>
      </c>
      <c r="H285" s="62" t="s">
        <v>182</v>
      </c>
    </row>
    <row r="286">
      <c r="A286" s="92" t="s">
        <v>166</v>
      </c>
    </row>
    <row r="287">
      <c r="A287" s="58" t="s">
        <v>474</v>
      </c>
      <c r="B287" s="49" t="s">
        <v>550</v>
      </c>
      <c r="C287" s="49" t="s">
        <v>551</v>
      </c>
      <c r="H287" s="105" t="s">
        <v>1</v>
      </c>
      <c r="I287" s="105" t="s">
        <v>185</v>
      </c>
      <c r="J287" s="105">
        <v>1.0</v>
      </c>
      <c r="K287" s="105">
        <v>2.0</v>
      </c>
      <c r="L287" s="105">
        <v>3.0</v>
      </c>
      <c r="M287" s="105">
        <v>4.0</v>
      </c>
      <c r="N287" s="105" t="s">
        <v>186</v>
      </c>
    </row>
    <row r="288">
      <c r="A288" s="58" t="s">
        <v>478</v>
      </c>
      <c r="B288" s="49" t="s">
        <v>552</v>
      </c>
      <c r="C288" s="49" t="s">
        <v>553</v>
      </c>
      <c r="H288" s="106">
        <v>2.0</v>
      </c>
      <c r="I288" s="106" t="s">
        <v>554</v>
      </c>
      <c r="J288" s="107">
        <v>1.0</v>
      </c>
      <c r="K288" s="107">
        <v>1.0</v>
      </c>
      <c r="L288" s="108"/>
      <c r="M288" s="107">
        <v>1.0</v>
      </c>
      <c r="N288" s="108"/>
    </row>
    <row r="289">
      <c r="A289" s="103" t="s">
        <v>555</v>
      </c>
      <c r="B289" s="49" t="s">
        <v>556</v>
      </c>
      <c r="C289" s="49" t="s">
        <v>557</v>
      </c>
      <c r="H289" s="106">
        <v>8.0</v>
      </c>
      <c r="I289" s="106" t="s">
        <v>558</v>
      </c>
      <c r="J289" s="108"/>
      <c r="K289" s="107">
        <v>1.0</v>
      </c>
      <c r="L289" s="107">
        <v>1.0</v>
      </c>
      <c r="M289" s="108"/>
      <c r="N289" s="108"/>
    </row>
    <row r="290">
      <c r="A290" s="58" t="s">
        <v>559</v>
      </c>
      <c r="B290" s="49" t="s">
        <v>560</v>
      </c>
      <c r="C290" s="49" t="s">
        <v>561</v>
      </c>
      <c r="H290" s="106">
        <v>10.0</v>
      </c>
      <c r="I290" s="106" t="s">
        <v>562</v>
      </c>
      <c r="J290" s="108"/>
      <c r="K290" s="108"/>
      <c r="L290" s="108"/>
      <c r="M290" s="107">
        <v>1.0</v>
      </c>
      <c r="N290" s="108"/>
    </row>
    <row r="291">
      <c r="A291" s="58" t="s">
        <v>563</v>
      </c>
      <c r="B291" s="49" t="s">
        <v>564</v>
      </c>
      <c r="C291" s="49" t="s">
        <v>565</v>
      </c>
      <c r="H291" s="106">
        <v>16.0</v>
      </c>
      <c r="I291" s="106" t="s">
        <v>566</v>
      </c>
      <c r="J291" s="107">
        <v>1.0</v>
      </c>
      <c r="K291" s="108"/>
      <c r="L291" s="108"/>
      <c r="M291" s="108"/>
      <c r="N291" s="108"/>
    </row>
    <row r="292">
      <c r="A292" s="58" t="s">
        <v>567</v>
      </c>
      <c r="B292" s="49" t="s">
        <v>568</v>
      </c>
      <c r="C292" s="49" t="s">
        <v>569</v>
      </c>
      <c r="H292" s="106">
        <v>17.0</v>
      </c>
      <c r="I292" s="106" t="s">
        <v>570</v>
      </c>
      <c r="J292" s="108"/>
      <c r="K292" s="108"/>
      <c r="L292" s="108"/>
      <c r="M292" s="108"/>
      <c r="N292" s="108"/>
    </row>
    <row r="293">
      <c r="A293" s="58" t="s">
        <v>571</v>
      </c>
      <c r="B293" s="49" t="s">
        <v>572</v>
      </c>
      <c r="C293" s="49" t="s">
        <v>573</v>
      </c>
      <c r="H293" s="106">
        <v>20.0</v>
      </c>
      <c r="I293" s="106" t="s">
        <v>574</v>
      </c>
      <c r="J293" s="108"/>
      <c r="K293" s="107">
        <v>1.0</v>
      </c>
      <c r="L293" s="109" t="s">
        <v>575</v>
      </c>
      <c r="M293" s="108"/>
      <c r="N293" s="108"/>
    </row>
    <row r="294">
      <c r="A294" s="58" t="s">
        <v>576</v>
      </c>
      <c r="B294" s="49" t="s">
        <v>577</v>
      </c>
      <c r="C294" s="49" t="s">
        <v>578</v>
      </c>
      <c r="H294" s="106">
        <v>21.0</v>
      </c>
      <c r="I294" s="106" t="s">
        <v>579</v>
      </c>
      <c r="J294" s="108"/>
      <c r="K294" s="108"/>
      <c r="L294" s="107">
        <v>1.0</v>
      </c>
      <c r="M294" s="108"/>
      <c r="N294" s="108"/>
    </row>
    <row r="295">
      <c r="A295" s="58" t="s">
        <v>580</v>
      </c>
      <c r="B295" s="58" t="s">
        <v>581</v>
      </c>
      <c r="C295" s="49" t="s">
        <v>582</v>
      </c>
      <c r="H295" s="106">
        <v>22.0</v>
      </c>
      <c r="I295" s="106" t="s">
        <v>583</v>
      </c>
      <c r="J295" s="108"/>
      <c r="K295" s="107">
        <v>1.0</v>
      </c>
      <c r="L295" s="108"/>
      <c r="M295" s="107">
        <v>1.0</v>
      </c>
      <c r="N295" s="108"/>
    </row>
    <row r="296">
      <c r="A296" s="49" t="s">
        <v>584</v>
      </c>
      <c r="B296" s="49" t="s">
        <v>585</v>
      </c>
      <c r="C296" s="49" t="s">
        <v>586</v>
      </c>
      <c r="D296" s="49"/>
      <c r="E296" s="49"/>
      <c r="F296" s="49"/>
      <c r="G296" s="49"/>
      <c r="H296" s="106">
        <v>27.0</v>
      </c>
      <c r="I296" s="106" t="s">
        <v>587</v>
      </c>
      <c r="J296" s="108"/>
      <c r="K296" s="108"/>
      <c r="L296" s="108"/>
      <c r="M296" s="108"/>
      <c r="N296" s="108"/>
    </row>
    <row r="297">
      <c r="A297" s="49" t="s">
        <v>588</v>
      </c>
      <c r="B297" s="43" t="s">
        <v>589</v>
      </c>
      <c r="C297" s="49" t="s">
        <v>590</v>
      </c>
      <c r="H297" s="106">
        <v>30.0</v>
      </c>
      <c r="I297" s="106" t="s">
        <v>591</v>
      </c>
      <c r="J297" s="108"/>
      <c r="K297" s="108"/>
      <c r="L297" s="109" t="s">
        <v>575</v>
      </c>
      <c r="M297" s="108"/>
      <c r="N297" s="108"/>
    </row>
    <row r="298">
      <c r="A298" s="49" t="s">
        <v>592</v>
      </c>
      <c r="B298" s="43" t="s">
        <v>589</v>
      </c>
      <c r="C298" s="49" t="s">
        <v>593</v>
      </c>
      <c r="H298" s="106">
        <v>33.0</v>
      </c>
      <c r="I298" s="106" t="s">
        <v>594</v>
      </c>
      <c r="J298" s="108"/>
      <c r="K298" s="108"/>
      <c r="L298" s="108"/>
      <c r="M298" s="108"/>
      <c r="N298" s="108"/>
    </row>
    <row r="299">
      <c r="A299" s="43" t="s">
        <v>595</v>
      </c>
      <c r="B299" s="43" t="s">
        <v>589</v>
      </c>
      <c r="C299" s="43" t="s">
        <v>596</v>
      </c>
      <c r="H299" s="106">
        <v>49.0</v>
      </c>
      <c r="I299" s="106" t="s">
        <v>597</v>
      </c>
      <c r="J299" s="108"/>
      <c r="K299" s="108"/>
      <c r="L299" s="108"/>
      <c r="M299" s="108"/>
      <c r="N299" s="108"/>
    </row>
    <row r="300">
      <c r="H300" s="106">
        <v>67.0</v>
      </c>
      <c r="I300" s="106" t="s">
        <v>598</v>
      </c>
      <c r="J300" s="107">
        <v>1.0</v>
      </c>
      <c r="K300" s="108"/>
      <c r="L300" s="108"/>
      <c r="M300" s="108"/>
      <c r="N300" s="108"/>
    </row>
    <row r="301">
      <c r="H301" s="106">
        <v>95.0</v>
      </c>
      <c r="I301" s="106" t="s">
        <v>599</v>
      </c>
      <c r="J301" s="108"/>
      <c r="K301" s="108"/>
      <c r="L301" s="108"/>
      <c r="M301" s="108"/>
      <c r="N301" s="108"/>
    </row>
    <row r="302">
      <c r="H302" s="106">
        <v>0.0</v>
      </c>
      <c r="I302" s="106" t="s">
        <v>600</v>
      </c>
      <c r="J302" s="108"/>
      <c r="K302" s="108"/>
      <c r="L302" s="108"/>
      <c r="M302" s="108"/>
      <c r="N302" s="108"/>
    </row>
    <row r="303">
      <c r="H303" s="106">
        <v>14.0</v>
      </c>
      <c r="I303" s="106" t="s">
        <v>601</v>
      </c>
      <c r="J303" s="108"/>
      <c r="K303" s="108"/>
      <c r="L303" s="108"/>
      <c r="M303" s="108"/>
      <c r="N303" s="108"/>
    </row>
    <row r="309">
      <c r="I309" s="62" t="s">
        <v>182</v>
      </c>
    </row>
    <row r="310">
      <c r="A310" s="54" t="s">
        <v>602</v>
      </c>
    </row>
    <row r="311">
      <c r="A311" s="55" t="s">
        <v>513</v>
      </c>
      <c r="B311" s="49"/>
      <c r="C311" s="49"/>
      <c r="D311" s="49"/>
      <c r="I311" s="93" t="s">
        <v>1</v>
      </c>
      <c r="J311" s="93" t="s">
        <v>185</v>
      </c>
      <c r="K311" s="93">
        <v>1.0</v>
      </c>
      <c r="L311" s="93">
        <v>2.0</v>
      </c>
      <c r="M311" s="93">
        <v>3.0</v>
      </c>
      <c r="N311" s="93">
        <v>4.0</v>
      </c>
      <c r="O311" s="93" t="s">
        <v>186</v>
      </c>
    </row>
    <row r="312">
      <c r="A312" s="78" t="s">
        <v>603</v>
      </c>
      <c r="I312" s="94">
        <v>3.0</v>
      </c>
      <c r="J312" s="94" t="s">
        <v>191</v>
      </c>
      <c r="K312" s="66"/>
      <c r="L312" s="66"/>
      <c r="M312" s="66"/>
      <c r="N312" s="66"/>
      <c r="O312" s="66"/>
    </row>
    <row r="313">
      <c r="A313" s="78" t="s">
        <v>604</v>
      </c>
      <c r="I313" s="94">
        <v>5.0</v>
      </c>
      <c r="J313" s="94" t="s">
        <v>359</v>
      </c>
      <c r="K313" s="66"/>
      <c r="L313" s="66"/>
      <c r="M313" s="66"/>
      <c r="N313" s="66"/>
      <c r="O313" s="66"/>
    </row>
    <row r="314">
      <c r="A314" s="78" t="s">
        <v>605</v>
      </c>
      <c r="I314" s="94">
        <v>6.0</v>
      </c>
      <c r="J314" s="94" t="s">
        <v>71</v>
      </c>
      <c r="K314" s="66"/>
      <c r="L314" s="95">
        <v>1.0</v>
      </c>
      <c r="M314" s="66"/>
      <c r="N314" s="66"/>
      <c r="O314" s="66"/>
    </row>
    <row r="315">
      <c r="A315" s="78" t="s">
        <v>606</v>
      </c>
      <c r="I315" s="94">
        <v>12.0</v>
      </c>
      <c r="J315" s="94" t="s">
        <v>203</v>
      </c>
      <c r="K315" s="66"/>
      <c r="L315" s="66"/>
      <c r="M315" s="66"/>
      <c r="N315" s="66"/>
      <c r="O315" s="66"/>
    </row>
    <row r="316">
      <c r="A316" s="78" t="s">
        <v>607</v>
      </c>
      <c r="I316" s="94">
        <v>14.0</v>
      </c>
      <c r="J316" s="94" t="s">
        <v>205</v>
      </c>
      <c r="K316" s="66"/>
      <c r="L316" s="66"/>
      <c r="M316" s="66"/>
      <c r="N316" s="66"/>
      <c r="O316" s="66"/>
    </row>
    <row r="317">
      <c r="A317" s="83" t="s">
        <v>608</v>
      </c>
      <c r="I317" s="94">
        <v>19.0</v>
      </c>
      <c r="J317" s="94" t="s">
        <v>208</v>
      </c>
      <c r="K317" s="66"/>
      <c r="L317" s="66"/>
      <c r="M317" s="66"/>
      <c r="N317" s="66"/>
      <c r="O317" s="66"/>
      <c r="Q317" s="62" t="s">
        <v>442</v>
      </c>
    </row>
    <row r="318">
      <c r="A318" s="78" t="s">
        <v>609</v>
      </c>
      <c r="I318" s="94">
        <v>20.0</v>
      </c>
      <c r="J318" s="94" t="s">
        <v>610</v>
      </c>
      <c r="K318" s="66"/>
      <c r="L318" s="66"/>
      <c r="M318" s="95">
        <v>1.0</v>
      </c>
      <c r="N318" s="95">
        <v>1.0</v>
      </c>
      <c r="O318" s="66"/>
    </row>
    <row r="319">
      <c r="A319" s="78" t="s">
        <v>611</v>
      </c>
      <c r="I319" s="94">
        <v>26.0</v>
      </c>
      <c r="J319" s="94" t="s">
        <v>376</v>
      </c>
      <c r="K319" s="66"/>
      <c r="L319" s="95">
        <v>1.0</v>
      </c>
      <c r="M319" s="66"/>
      <c r="N319" s="66"/>
      <c r="O319" s="66"/>
      <c r="Q319" s="90" t="s">
        <v>400</v>
      </c>
      <c r="R319" s="90" t="s">
        <v>401</v>
      </c>
      <c r="S319" s="90" t="s">
        <v>402</v>
      </c>
    </row>
    <row r="320">
      <c r="A320" s="78" t="s">
        <v>612</v>
      </c>
      <c r="I320" s="94">
        <v>27.0</v>
      </c>
      <c r="J320" s="94" t="s">
        <v>319</v>
      </c>
      <c r="K320" s="66"/>
      <c r="L320" s="66"/>
      <c r="M320" s="66"/>
      <c r="N320" s="66"/>
      <c r="O320" s="66"/>
      <c r="Q320" s="91" t="s">
        <v>613</v>
      </c>
      <c r="R320" s="91" t="s">
        <v>614</v>
      </c>
      <c r="S320" s="91" t="s">
        <v>615</v>
      </c>
    </row>
    <row r="321">
      <c r="A321" s="78" t="s">
        <v>616</v>
      </c>
      <c r="I321" s="94">
        <v>66.0</v>
      </c>
      <c r="J321" s="94" t="s">
        <v>217</v>
      </c>
      <c r="K321" s="66"/>
      <c r="L321" s="66"/>
      <c r="M321" s="66"/>
      <c r="N321" s="66"/>
      <c r="O321" s="66"/>
      <c r="Q321" s="91" t="s">
        <v>617</v>
      </c>
      <c r="R321" s="91" t="s">
        <v>618</v>
      </c>
      <c r="S321" s="91" t="s">
        <v>619</v>
      </c>
    </row>
    <row r="322">
      <c r="A322" s="78" t="s">
        <v>620</v>
      </c>
      <c r="I322" s="94">
        <v>70.0</v>
      </c>
      <c r="J322" s="94" t="s">
        <v>439</v>
      </c>
      <c r="K322" s="95">
        <v>1.0</v>
      </c>
      <c r="L322" s="96" t="s">
        <v>438</v>
      </c>
      <c r="M322" s="66"/>
      <c r="N322" s="66"/>
      <c r="O322" s="66"/>
      <c r="Q322" s="91" t="s">
        <v>617</v>
      </c>
      <c r="R322" s="91" t="s">
        <v>621</v>
      </c>
      <c r="S322" s="91" t="s">
        <v>622</v>
      </c>
    </row>
    <row r="323">
      <c r="A323" s="78" t="s">
        <v>623</v>
      </c>
      <c r="I323" s="94">
        <v>91.0</v>
      </c>
      <c r="J323" s="94" t="s">
        <v>223</v>
      </c>
      <c r="K323" s="66"/>
      <c r="L323" s="66"/>
      <c r="M323" s="95">
        <v>1.0</v>
      </c>
      <c r="N323" s="66"/>
      <c r="O323" s="66"/>
      <c r="Q323" s="91" t="s">
        <v>624</v>
      </c>
      <c r="R323" s="91" t="s">
        <v>625</v>
      </c>
      <c r="S323" s="91" t="s">
        <v>626</v>
      </c>
    </row>
    <row r="324">
      <c r="A324" s="78" t="s">
        <v>627</v>
      </c>
      <c r="I324" s="94">
        <v>93.0</v>
      </c>
      <c r="J324" s="94" t="s">
        <v>225</v>
      </c>
      <c r="K324" s="66"/>
      <c r="L324" s="66"/>
      <c r="M324" s="66"/>
      <c r="N324" s="95">
        <v>1.0</v>
      </c>
      <c r="O324" s="66"/>
      <c r="Q324" s="91" t="s">
        <v>628</v>
      </c>
      <c r="R324" s="91" t="s">
        <v>629</v>
      </c>
      <c r="S324" s="91" t="s">
        <v>630</v>
      </c>
    </row>
    <row r="325">
      <c r="A325" s="78" t="s">
        <v>631</v>
      </c>
      <c r="I325" s="94">
        <v>96.0</v>
      </c>
      <c r="J325" s="94" t="s">
        <v>329</v>
      </c>
      <c r="K325" s="66"/>
      <c r="L325" s="95">
        <v>1.0</v>
      </c>
      <c r="M325" s="95">
        <v>1.0</v>
      </c>
      <c r="N325" s="66"/>
      <c r="O325" s="66"/>
      <c r="Q325" s="91" t="s">
        <v>628</v>
      </c>
      <c r="R325" s="91" t="s">
        <v>618</v>
      </c>
      <c r="S325" s="91" t="s">
        <v>632</v>
      </c>
    </row>
    <row r="326">
      <c r="A326" s="55" t="s">
        <v>157</v>
      </c>
      <c r="B326" s="49"/>
      <c r="C326" s="49"/>
      <c r="D326" s="49"/>
      <c r="E326" s="49"/>
      <c r="F326" s="49"/>
      <c r="G326" s="49"/>
      <c r="I326" s="94">
        <v>17.0</v>
      </c>
      <c r="J326" s="94" t="s">
        <v>228</v>
      </c>
      <c r="K326" s="66"/>
      <c r="L326" s="66"/>
      <c r="M326" s="96" t="s">
        <v>438</v>
      </c>
      <c r="N326" s="66"/>
      <c r="O326" s="66"/>
      <c r="Q326" s="91" t="s">
        <v>633</v>
      </c>
      <c r="R326" s="91" t="s">
        <v>634</v>
      </c>
      <c r="S326" s="91" t="s">
        <v>635</v>
      </c>
    </row>
    <row r="327">
      <c r="A327" s="78" t="s">
        <v>636</v>
      </c>
      <c r="I327" s="94">
        <v>99.0</v>
      </c>
      <c r="J327" s="94" t="s">
        <v>231</v>
      </c>
      <c r="K327" s="66"/>
      <c r="L327" s="66"/>
      <c r="M327" s="66"/>
      <c r="N327" s="66"/>
      <c r="O327" s="66"/>
      <c r="Q327" s="91" t="s">
        <v>637</v>
      </c>
      <c r="R327" s="91" t="s">
        <v>638</v>
      </c>
      <c r="S327" s="91" t="s">
        <v>639</v>
      </c>
    </row>
    <row r="328">
      <c r="A328" s="78" t="s">
        <v>640</v>
      </c>
      <c r="I328" s="49" t="s">
        <v>641</v>
      </c>
      <c r="J328" s="49" t="s">
        <v>642</v>
      </c>
      <c r="K328" s="49"/>
      <c r="L328" s="49"/>
      <c r="M328" s="49"/>
      <c r="N328" s="49"/>
      <c r="O328" s="49"/>
      <c r="Q328" s="49"/>
      <c r="R328" s="49"/>
      <c r="S328" s="49"/>
      <c r="T328" s="49"/>
      <c r="U328" s="49"/>
      <c r="V328" s="49"/>
      <c r="W328" s="49"/>
    </row>
    <row r="329">
      <c r="A329" s="78" t="s">
        <v>643</v>
      </c>
      <c r="I329" s="62" t="s">
        <v>182</v>
      </c>
    </row>
    <row r="330">
      <c r="A330" s="78" t="s">
        <v>644</v>
      </c>
    </row>
    <row r="331">
      <c r="A331" s="78" t="s">
        <v>645</v>
      </c>
      <c r="I331" s="110" t="s">
        <v>1</v>
      </c>
      <c r="J331" s="110" t="s">
        <v>185</v>
      </c>
      <c r="K331" s="110">
        <v>1.0</v>
      </c>
      <c r="L331" s="110">
        <v>2.0</v>
      </c>
      <c r="M331" s="110">
        <v>3.0</v>
      </c>
      <c r="N331" s="110">
        <v>4.0</v>
      </c>
      <c r="O331" s="110" t="s">
        <v>186</v>
      </c>
    </row>
    <row r="332">
      <c r="A332" s="78" t="s">
        <v>646</v>
      </c>
      <c r="I332" s="111">
        <v>2.0</v>
      </c>
      <c r="J332" s="111" t="s">
        <v>647</v>
      </c>
      <c r="K332" s="112">
        <v>1.0</v>
      </c>
      <c r="L332" s="112">
        <v>1.0</v>
      </c>
      <c r="M332" s="113" t="s">
        <v>438</v>
      </c>
      <c r="N332" s="69"/>
      <c r="O332" s="69"/>
    </row>
    <row r="333">
      <c r="A333" s="78" t="s">
        <v>648</v>
      </c>
      <c r="I333" s="111">
        <v>4.0</v>
      </c>
      <c r="J333" s="111" t="s">
        <v>649</v>
      </c>
      <c r="K333" s="112">
        <v>1.0</v>
      </c>
      <c r="L333" s="69"/>
      <c r="M333" s="112">
        <v>1.0</v>
      </c>
      <c r="N333" s="69"/>
      <c r="O333" s="69"/>
    </row>
    <row r="334">
      <c r="A334" s="78" t="s">
        <v>650</v>
      </c>
      <c r="I334" s="111">
        <v>6.0</v>
      </c>
      <c r="J334" s="111" t="s">
        <v>651</v>
      </c>
      <c r="K334" s="112">
        <v>1.0</v>
      </c>
      <c r="L334" s="69"/>
      <c r="M334" s="69"/>
      <c r="N334" s="69"/>
      <c r="O334" s="69"/>
    </row>
    <row r="335">
      <c r="A335" s="114" t="s">
        <v>652</v>
      </c>
      <c r="I335" s="111">
        <v>11.0</v>
      </c>
      <c r="J335" s="111" t="s">
        <v>653</v>
      </c>
      <c r="K335" s="69"/>
      <c r="L335" s="69"/>
      <c r="M335" s="69"/>
      <c r="N335" s="69"/>
      <c r="O335" s="69"/>
    </row>
    <row r="336">
      <c r="A336" s="78" t="s">
        <v>654</v>
      </c>
      <c r="I336" s="111">
        <v>18.0</v>
      </c>
      <c r="J336" s="111" t="s">
        <v>655</v>
      </c>
      <c r="K336" s="69"/>
      <c r="L336" s="69"/>
      <c r="M336" s="69"/>
      <c r="N336" s="69"/>
      <c r="O336" s="69"/>
    </row>
    <row r="337">
      <c r="A337" s="78" t="s">
        <v>656</v>
      </c>
      <c r="I337" s="111">
        <v>19.0</v>
      </c>
      <c r="J337" s="111" t="s">
        <v>657</v>
      </c>
      <c r="K337" s="69"/>
      <c r="L337" s="69"/>
      <c r="M337" s="69"/>
      <c r="N337" s="69"/>
      <c r="O337" s="69"/>
    </row>
    <row r="338">
      <c r="A338" s="78" t="s">
        <v>658</v>
      </c>
      <c r="I338" s="111">
        <v>22.0</v>
      </c>
      <c r="J338" s="111" t="s">
        <v>659</v>
      </c>
      <c r="K338" s="112">
        <v>1.0</v>
      </c>
      <c r="L338" s="112">
        <v>1.0</v>
      </c>
      <c r="M338" s="69"/>
      <c r="N338" s="69"/>
      <c r="O338" s="69"/>
    </row>
    <row r="339">
      <c r="A339" s="55" t="s">
        <v>166</v>
      </c>
      <c r="I339" s="111">
        <v>23.0</v>
      </c>
      <c r="J339" s="111" t="s">
        <v>660</v>
      </c>
      <c r="K339" s="69"/>
      <c r="L339" s="69"/>
      <c r="M339" s="69"/>
      <c r="N339" s="69"/>
      <c r="O339" s="69"/>
    </row>
    <row r="340">
      <c r="A340" s="58" t="s">
        <v>474</v>
      </c>
      <c r="B340" s="49" t="s">
        <v>661</v>
      </c>
      <c r="C340" s="49" t="s">
        <v>662</v>
      </c>
      <c r="I340" s="111">
        <v>29.0</v>
      </c>
      <c r="J340" s="111" t="s">
        <v>663</v>
      </c>
      <c r="K340" s="69"/>
      <c r="L340" s="69"/>
      <c r="M340" s="69"/>
      <c r="N340" s="69"/>
      <c r="O340" s="69"/>
    </row>
    <row r="341">
      <c r="A341" s="72">
        <v>46023.0</v>
      </c>
      <c r="B341" s="49" t="s">
        <v>664</v>
      </c>
      <c r="C341" s="49" t="s">
        <v>665</v>
      </c>
      <c r="I341" s="111">
        <v>31.0</v>
      </c>
      <c r="J341" s="111" t="s">
        <v>666</v>
      </c>
      <c r="K341" s="69"/>
      <c r="L341" s="69"/>
      <c r="M341" s="112">
        <v>1.0</v>
      </c>
      <c r="N341" s="69"/>
      <c r="O341" s="69"/>
    </row>
    <row r="342">
      <c r="A342" s="115">
        <v>46054.0</v>
      </c>
      <c r="B342" s="49" t="s">
        <v>667</v>
      </c>
      <c r="C342" s="49" t="s">
        <v>668</v>
      </c>
      <c r="I342" s="111">
        <v>35.0</v>
      </c>
      <c r="J342" s="111" t="s">
        <v>669</v>
      </c>
      <c r="K342" s="69"/>
      <c r="L342" s="69"/>
      <c r="M342" s="69"/>
      <c r="N342" s="69"/>
      <c r="O342" s="69"/>
    </row>
    <row r="343">
      <c r="A343" s="72">
        <v>46082.0</v>
      </c>
      <c r="B343" s="49" t="s">
        <v>670</v>
      </c>
      <c r="C343" s="49" t="s">
        <v>671</v>
      </c>
      <c r="I343" s="111">
        <v>77.0</v>
      </c>
      <c r="J343" s="111" t="s">
        <v>672</v>
      </c>
      <c r="K343" s="69"/>
      <c r="L343" s="69"/>
      <c r="M343" s="112">
        <v>1.0</v>
      </c>
      <c r="N343" s="69"/>
      <c r="O343" s="69"/>
    </row>
    <row r="344">
      <c r="A344" s="72">
        <v>46083.0</v>
      </c>
      <c r="B344" s="49" t="s">
        <v>673</v>
      </c>
      <c r="C344" s="49" t="s">
        <v>674</v>
      </c>
      <c r="I344" s="111">
        <v>88.0</v>
      </c>
      <c r="J344" s="111" t="s">
        <v>675</v>
      </c>
      <c r="K344" s="112">
        <v>1.0</v>
      </c>
      <c r="L344" s="69"/>
      <c r="M344" s="69"/>
      <c r="N344" s="69"/>
      <c r="O344" s="69"/>
    </row>
    <row r="345">
      <c r="A345" s="72">
        <v>46084.0</v>
      </c>
      <c r="B345" s="49" t="s">
        <v>676</v>
      </c>
      <c r="C345" s="49" t="s">
        <v>677</v>
      </c>
      <c r="I345" s="111">
        <v>91.0</v>
      </c>
      <c r="J345" s="111" t="s">
        <v>678</v>
      </c>
      <c r="K345" s="69"/>
      <c r="L345" s="69"/>
      <c r="M345" s="69"/>
      <c r="N345" s="69"/>
      <c r="O345" s="69"/>
    </row>
    <row r="346">
      <c r="A346" s="72">
        <v>46115.0</v>
      </c>
      <c r="B346" s="49" t="s">
        <v>679</v>
      </c>
      <c r="C346" s="49" t="s">
        <v>680</v>
      </c>
      <c r="I346" s="111">
        <v>28.0</v>
      </c>
      <c r="J346" s="111" t="s">
        <v>681</v>
      </c>
      <c r="K346" s="69"/>
      <c r="L346" s="69"/>
      <c r="M346" s="69"/>
      <c r="N346" s="69"/>
      <c r="O346" s="69"/>
    </row>
    <row r="347">
      <c r="A347" s="72">
        <v>46116.0</v>
      </c>
      <c r="B347" s="49" t="s">
        <v>682</v>
      </c>
      <c r="C347" s="49" t="s">
        <v>683</v>
      </c>
      <c r="I347" s="111">
        <v>97.0</v>
      </c>
      <c r="J347" s="111" t="s">
        <v>684</v>
      </c>
      <c r="K347" s="69"/>
      <c r="L347" s="69"/>
      <c r="M347" s="69"/>
      <c r="N347" s="69"/>
      <c r="O347" s="69"/>
    </row>
    <row r="348">
      <c r="A348" s="72">
        <v>46146.0</v>
      </c>
      <c r="B348" s="58" t="s">
        <v>637</v>
      </c>
      <c r="C348" s="49" t="s">
        <v>685</v>
      </c>
    </row>
    <row r="349">
      <c r="A349" s="49"/>
      <c r="B349" s="49"/>
      <c r="C349" s="49"/>
      <c r="D349" s="49"/>
      <c r="E349" s="49"/>
      <c r="F349" s="49"/>
      <c r="G349" s="49"/>
    </row>
    <row r="350">
      <c r="A350" s="54" t="s">
        <v>686</v>
      </c>
      <c r="I350" s="62" t="s">
        <v>182</v>
      </c>
    </row>
    <row r="351">
      <c r="A351" s="55" t="s">
        <v>513</v>
      </c>
      <c r="B351" s="49"/>
      <c r="C351" s="49"/>
      <c r="D351" s="49"/>
    </row>
    <row r="352">
      <c r="A352" s="78" t="s">
        <v>687</v>
      </c>
      <c r="I352" s="93" t="s">
        <v>1</v>
      </c>
      <c r="J352" s="93" t="s">
        <v>185</v>
      </c>
      <c r="K352" s="93">
        <v>1.0</v>
      </c>
      <c r="L352" s="93">
        <v>2.0</v>
      </c>
      <c r="M352" s="93">
        <v>3.0</v>
      </c>
      <c r="N352" s="93">
        <v>4.0</v>
      </c>
      <c r="O352" s="93" t="s">
        <v>186</v>
      </c>
    </row>
    <row r="353">
      <c r="A353" s="78" t="s">
        <v>688</v>
      </c>
      <c r="I353" s="94">
        <v>3.0</v>
      </c>
      <c r="J353" s="94" t="s">
        <v>191</v>
      </c>
      <c r="K353" s="66"/>
      <c r="L353" s="95">
        <v>1.0</v>
      </c>
      <c r="M353" s="66"/>
      <c r="N353" s="95">
        <v>1.0</v>
      </c>
      <c r="O353" s="66"/>
    </row>
    <row r="354">
      <c r="A354" s="78" t="s">
        <v>689</v>
      </c>
      <c r="I354" s="94">
        <v>5.0</v>
      </c>
      <c r="J354" s="94" t="s">
        <v>359</v>
      </c>
      <c r="K354" s="66"/>
      <c r="L354" s="66"/>
      <c r="M354" s="66"/>
      <c r="N354" s="95">
        <v>1.0</v>
      </c>
      <c r="O354" s="66"/>
    </row>
    <row r="355">
      <c r="A355" s="78" t="s">
        <v>690</v>
      </c>
      <c r="I355" s="94">
        <v>6.0</v>
      </c>
      <c r="J355" s="94" t="s">
        <v>71</v>
      </c>
      <c r="K355" s="66"/>
      <c r="L355" s="95">
        <v>1.0</v>
      </c>
      <c r="M355" s="66"/>
      <c r="N355" s="66"/>
      <c r="O355" s="66"/>
    </row>
    <row r="356">
      <c r="A356" s="78" t="s">
        <v>691</v>
      </c>
      <c r="I356" s="94">
        <v>12.0</v>
      </c>
      <c r="J356" s="94" t="s">
        <v>203</v>
      </c>
      <c r="K356" s="95">
        <v>1.0</v>
      </c>
      <c r="L356" s="66"/>
      <c r="M356" s="66"/>
      <c r="N356" s="66"/>
      <c r="O356" s="66"/>
    </row>
    <row r="357">
      <c r="A357" s="78" t="s">
        <v>692</v>
      </c>
      <c r="I357" s="94">
        <v>14.0</v>
      </c>
      <c r="J357" s="94" t="s">
        <v>205</v>
      </c>
      <c r="K357" s="66"/>
      <c r="L357" s="96" t="s">
        <v>438</v>
      </c>
      <c r="M357" s="66"/>
      <c r="N357" s="66"/>
      <c r="O357" s="66"/>
    </row>
    <row r="358">
      <c r="A358" s="78" t="s">
        <v>693</v>
      </c>
      <c r="I358" s="94">
        <v>19.0</v>
      </c>
      <c r="J358" s="94" t="s">
        <v>208</v>
      </c>
      <c r="K358" s="66"/>
      <c r="L358" s="66"/>
      <c r="M358" s="66"/>
      <c r="N358" s="66"/>
      <c r="O358" s="66"/>
    </row>
    <row r="359">
      <c r="A359" s="78" t="s">
        <v>694</v>
      </c>
      <c r="I359" s="94">
        <v>23.0</v>
      </c>
      <c r="J359" s="94" t="s">
        <v>211</v>
      </c>
      <c r="K359" s="66"/>
      <c r="L359" s="95">
        <v>1.0</v>
      </c>
      <c r="M359" s="66"/>
      <c r="N359" s="66"/>
      <c r="O359" s="66"/>
    </row>
    <row r="360">
      <c r="A360" s="78" t="s">
        <v>695</v>
      </c>
      <c r="I360" s="94">
        <v>26.0</v>
      </c>
      <c r="J360" s="94" t="s">
        <v>376</v>
      </c>
      <c r="K360" s="66"/>
      <c r="L360" s="66"/>
      <c r="M360" s="66"/>
      <c r="N360" s="95">
        <v>1.0</v>
      </c>
      <c r="O360" s="66"/>
    </row>
    <row r="361">
      <c r="A361" s="78" t="s">
        <v>696</v>
      </c>
      <c r="I361" s="94">
        <v>33.0</v>
      </c>
      <c r="J361" s="94" t="s">
        <v>272</v>
      </c>
      <c r="K361" s="66"/>
      <c r="L361" s="66"/>
      <c r="M361" s="66"/>
      <c r="N361" s="66"/>
      <c r="O361" s="66"/>
    </row>
    <row r="362">
      <c r="A362" s="78" t="s">
        <v>697</v>
      </c>
      <c r="I362" s="94">
        <v>49.0</v>
      </c>
      <c r="J362" s="94" t="s">
        <v>597</v>
      </c>
      <c r="K362" s="66"/>
      <c r="L362" s="66"/>
      <c r="M362" s="95">
        <v>1.0</v>
      </c>
      <c r="N362" s="66"/>
      <c r="O362" s="66"/>
    </row>
    <row r="363">
      <c r="A363" s="78" t="s">
        <v>698</v>
      </c>
      <c r="I363" s="94">
        <v>53.0</v>
      </c>
      <c r="J363" s="94" t="s">
        <v>275</v>
      </c>
      <c r="K363" s="66"/>
      <c r="L363" s="66"/>
      <c r="M363" s="66"/>
      <c r="N363" s="66"/>
      <c r="O363" s="66"/>
    </row>
    <row r="364">
      <c r="A364" s="78" t="s">
        <v>699</v>
      </c>
      <c r="I364" s="94">
        <v>66.0</v>
      </c>
      <c r="J364" s="94" t="s">
        <v>217</v>
      </c>
      <c r="K364" s="66"/>
      <c r="L364" s="66"/>
      <c r="M364" s="95">
        <v>1.0</v>
      </c>
      <c r="N364" s="66"/>
      <c r="O364" s="66"/>
    </row>
    <row r="365">
      <c r="A365" s="55" t="s">
        <v>157</v>
      </c>
      <c r="B365" s="49"/>
      <c r="C365" s="49"/>
      <c r="D365" s="49"/>
      <c r="E365" s="49"/>
      <c r="F365" s="49"/>
      <c r="G365" s="49"/>
      <c r="I365" s="94">
        <v>70.0</v>
      </c>
      <c r="J365" s="94" t="s">
        <v>439</v>
      </c>
      <c r="K365" s="66"/>
      <c r="L365" s="66"/>
      <c r="M365" s="66"/>
      <c r="N365" s="66"/>
      <c r="O365" s="66"/>
    </row>
    <row r="366">
      <c r="A366" s="78" t="s">
        <v>700</v>
      </c>
      <c r="I366" s="94">
        <v>91.0</v>
      </c>
      <c r="J366" s="94" t="s">
        <v>223</v>
      </c>
      <c r="K366" s="66"/>
      <c r="L366" s="66"/>
      <c r="M366" s="66"/>
      <c r="N366" s="66"/>
      <c r="O366" s="66"/>
    </row>
    <row r="367">
      <c r="A367" s="78" t="s">
        <v>701</v>
      </c>
      <c r="I367" s="94">
        <v>17.0</v>
      </c>
      <c r="J367" s="94" t="s">
        <v>228</v>
      </c>
      <c r="K367" s="66"/>
      <c r="L367" s="66"/>
      <c r="M367" s="66"/>
      <c r="N367" s="66"/>
      <c r="O367" s="66"/>
      <c r="P367" s="62" t="s">
        <v>442</v>
      </c>
    </row>
    <row r="368">
      <c r="A368" s="78" t="s">
        <v>702</v>
      </c>
      <c r="I368" s="94">
        <v>99.0</v>
      </c>
      <c r="J368" s="94" t="s">
        <v>231</v>
      </c>
      <c r="K368" s="66"/>
      <c r="L368" s="66"/>
      <c r="M368" s="66"/>
      <c r="N368" s="66"/>
      <c r="O368" s="66"/>
    </row>
    <row r="369">
      <c r="A369" s="78" t="s">
        <v>703</v>
      </c>
      <c r="I369" s="49" t="s">
        <v>641</v>
      </c>
      <c r="J369" s="49" t="s">
        <v>704</v>
      </c>
      <c r="K369" s="49"/>
      <c r="L369" s="49"/>
      <c r="M369" s="49"/>
      <c r="N369" s="49"/>
      <c r="O369" s="49"/>
      <c r="P369" s="90" t="s">
        <v>705</v>
      </c>
      <c r="Q369" s="90" t="s">
        <v>706</v>
      </c>
      <c r="R369" s="90" t="s">
        <v>707</v>
      </c>
    </row>
    <row r="370">
      <c r="A370" s="78" t="s">
        <v>708</v>
      </c>
      <c r="I370" s="62" t="s">
        <v>182</v>
      </c>
      <c r="P370" s="91" t="s">
        <v>709</v>
      </c>
      <c r="Q370" s="91" t="s">
        <v>710</v>
      </c>
      <c r="R370" s="91" t="s">
        <v>711</v>
      </c>
    </row>
    <row r="371">
      <c r="A371" s="78" t="s">
        <v>712</v>
      </c>
      <c r="P371" s="91" t="s">
        <v>713</v>
      </c>
      <c r="Q371" s="91" t="s">
        <v>714</v>
      </c>
      <c r="R371" s="91" t="s">
        <v>715</v>
      </c>
    </row>
    <row r="372">
      <c r="A372" s="78" t="s">
        <v>716</v>
      </c>
      <c r="I372" s="110" t="s">
        <v>1</v>
      </c>
      <c r="J372" s="110" t="s">
        <v>185</v>
      </c>
      <c r="K372" s="110">
        <v>1.0</v>
      </c>
      <c r="L372" s="110">
        <v>2.0</v>
      </c>
      <c r="M372" s="110">
        <v>3.0</v>
      </c>
      <c r="N372" s="110">
        <v>4.0</v>
      </c>
      <c r="O372" s="110" t="s">
        <v>186</v>
      </c>
      <c r="P372" s="91" t="s">
        <v>717</v>
      </c>
      <c r="Q372" s="91" t="s">
        <v>634</v>
      </c>
      <c r="R372" s="91" t="s">
        <v>718</v>
      </c>
    </row>
    <row r="373">
      <c r="A373" s="78" t="s">
        <v>719</v>
      </c>
      <c r="I373" s="111">
        <v>2.0</v>
      </c>
      <c r="J373" s="111" t="s">
        <v>647</v>
      </c>
      <c r="K373" s="69"/>
      <c r="L373" s="69"/>
      <c r="M373" s="69"/>
      <c r="N373" s="112">
        <v>1.0</v>
      </c>
      <c r="O373" s="69"/>
      <c r="P373" s="91" t="s">
        <v>720</v>
      </c>
      <c r="Q373" s="91" t="s">
        <v>721</v>
      </c>
      <c r="R373" s="91" t="s">
        <v>722</v>
      </c>
    </row>
    <row r="374">
      <c r="A374" s="104" t="s">
        <v>723</v>
      </c>
      <c r="I374" s="111">
        <v>4.0</v>
      </c>
      <c r="J374" s="111" t="s">
        <v>649</v>
      </c>
      <c r="K374" s="69"/>
      <c r="L374" s="69"/>
      <c r="M374" s="69"/>
      <c r="N374" s="69"/>
      <c r="O374" s="69"/>
      <c r="P374" s="91" t="s">
        <v>724</v>
      </c>
      <c r="Q374" s="91" t="s">
        <v>725</v>
      </c>
      <c r="R374" s="91" t="s">
        <v>726</v>
      </c>
    </row>
    <row r="375">
      <c r="A375" s="55" t="s">
        <v>166</v>
      </c>
      <c r="I375" s="111">
        <v>6.0</v>
      </c>
      <c r="J375" s="111" t="s">
        <v>727</v>
      </c>
      <c r="K375" s="69"/>
      <c r="L375" s="69"/>
      <c r="M375" s="113" t="s">
        <v>438</v>
      </c>
      <c r="N375" s="69"/>
      <c r="O375" s="69"/>
      <c r="P375" s="102"/>
      <c r="Q375" s="102"/>
      <c r="R375" s="102"/>
    </row>
    <row r="376">
      <c r="A376" s="58" t="s">
        <v>474</v>
      </c>
      <c r="B376" s="49" t="s">
        <v>728</v>
      </c>
      <c r="C376" s="49" t="s">
        <v>729</v>
      </c>
      <c r="I376" s="111">
        <v>11.0</v>
      </c>
      <c r="J376" s="111" t="s">
        <v>653</v>
      </c>
      <c r="K376" s="112">
        <v>1.0</v>
      </c>
      <c r="L376" s="69"/>
      <c r="M376" s="69"/>
      <c r="N376" s="69"/>
      <c r="O376" s="69"/>
      <c r="P376" s="102"/>
      <c r="Q376" s="102"/>
      <c r="R376" s="102"/>
    </row>
    <row r="377">
      <c r="A377" s="72">
        <v>46023.0</v>
      </c>
      <c r="B377" s="49" t="s">
        <v>730</v>
      </c>
      <c r="C377" s="49" t="s">
        <v>731</v>
      </c>
      <c r="I377" s="111">
        <v>15.0</v>
      </c>
      <c r="J377" s="111" t="s">
        <v>732</v>
      </c>
      <c r="K377" s="69"/>
      <c r="L377" s="69"/>
      <c r="M377" s="69"/>
      <c r="N377" s="69"/>
      <c r="O377" s="69"/>
      <c r="P377" s="102"/>
      <c r="Q377" s="102"/>
      <c r="R377" s="102"/>
    </row>
    <row r="378">
      <c r="A378" s="115">
        <v>46054.0</v>
      </c>
      <c r="B378" s="49" t="s">
        <v>733</v>
      </c>
      <c r="C378" s="49" t="s">
        <v>734</v>
      </c>
      <c r="I378" s="111">
        <v>18.0</v>
      </c>
      <c r="J378" s="111" t="s">
        <v>655</v>
      </c>
      <c r="K378" s="69"/>
      <c r="L378" s="69"/>
      <c r="M378" s="69"/>
      <c r="N378" s="69"/>
      <c r="O378" s="69"/>
    </row>
    <row r="379">
      <c r="A379" s="72">
        <v>46082.0</v>
      </c>
      <c r="B379" s="49" t="s">
        <v>735</v>
      </c>
      <c r="C379" s="49" t="s">
        <v>736</v>
      </c>
      <c r="I379" s="111">
        <v>19.0</v>
      </c>
      <c r="J379" s="111" t="s">
        <v>657</v>
      </c>
      <c r="K379" s="69"/>
      <c r="L379" s="112">
        <v>1.0</v>
      </c>
      <c r="M379" s="69"/>
      <c r="N379" s="69"/>
      <c r="O379" s="69"/>
    </row>
    <row r="380">
      <c r="A380" s="72">
        <v>46083.0</v>
      </c>
      <c r="B380" s="49" t="s">
        <v>737</v>
      </c>
      <c r="C380" s="49" t="s">
        <v>738</v>
      </c>
      <c r="I380" s="111">
        <v>22.0</v>
      </c>
      <c r="J380" s="111" t="s">
        <v>659</v>
      </c>
      <c r="K380" s="69"/>
      <c r="L380" s="69"/>
      <c r="M380" s="112">
        <v>1.0</v>
      </c>
      <c r="N380" s="69"/>
      <c r="O380" s="69"/>
    </row>
    <row r="381">
      <c r="A381" s="72">
        <v>46084.0</v>
      </c>
      <c r="B381" s="49" t="s">
        <v>739</v>
      </c>
      <c r="C381" s="49" t="s">
        <v>740</v>
      </c>
      <c r="I381" s="111">
        <v>23.0</v>
      </c>
      <c r="J381" s="111" t="s">
        <v>660</v>
      </c>
      <c r="K381" s="69"/>
      <c r="L381" s="69"/>
      <c r="M381" s="69"/>
      <c r="N381" s="69"/>
      <c r="O381" s="69"/>
    </row>
    <row r="382">
      <c r="A382" s="72">
        <v>46115.0</v>
      </c>
      <c r="B382" s="49" t="s">
        <v>741</v>
      </c>
      <c r="C382" s="49" t="s">
        <v>742</v>
      </c>
      <c r="I382" s="111">
        <v>29.0</v>
      </c>
      <c r="J382" s="111" t="s">
        <v>663</v>
      </c>
      <c r="K382" s="69"/>
      <c r="L382" s="69"/>
      <c r="M382" s="69"/>
      <c r="N382" s="69"/>
      <c r="O382" s="69"/>
    </row>
    <row r="383">
      <c r="A383" s="72">
        <v>46116.0</v>
      </c>
      <c r="B383" s="49" t="s">
        <v>743</v>
      </c>
      <c r="C383" s="49" t="s">
        <v>744</v>
      </c>
      <c r="I383" s="111">
        <v>31.0</v>
      </c>
      <c r="J383" s="111" t="s">
        <v>666</v>
      </c>
      <c r="K383" s="69"/>
      <c r="L383" s="69"/>
      <c r="M383" s="69"/>
      <c r="N383" s="112">
        <v>1.0</v>
      </c>
      <c r="O383" s="69"/>
    </row>
    <row r="384">
      <c r="A384" s="72">
        <v>46117.0</v>
      </c>
      <c r="B384" s="58" t="s">
        <v>745</v>
      </c>
      <c r="C384" s="49" t="s">
        <v>746</v>
      </c>
      <c r="I384" s="111">
        <v>77.0</v>
      </c>
      <c r="J384" s="111" t="s">
        <v>672</v>
      </c>
      <c r="K384" s="69"/>
      <c r="L384" s="112">
        <v>1.0</v>
      </c>
      <c r="M384" s="69"/>
      <c r="N384" s="112">
        <v>1.0</v>
      </c>
      <c r="O384" s="69"/>
    </row>
    <row r="385">
      <c r="I385" s="111">
        <v>88.0</v>
      </c>
      <c r="J385" s="111" t="s">
        <v>675</v>
      </c>
      <c r="K385" s="69"/>
      <c r="L385" s="69"/>
      <c r="M385" s="69"/>
      <c r="N385" s="69"/>
      <c r="O385" s="69"/>
    </row>
    <row r="386">
      <c r="A386" s="72"/>
      <c r="B386" s="49"/>
      <c r="C386" s="49"/>
      <c r="I386" s="111">
        <v>91.0</v>
      </c>
      <c r="J386" s="111" t="s">
        <v>678</v>
      </c>
      <c r="K386" s="69"/>
      <c r="L386" s="69"/>
      <c r="M386" s="69"/>
      <c r="N386" s="69"/>
      <c r="O386" s="69"/>
    </row>
    <row r="387">
      <c r="A387" s="72"/>
      <c r="B387" s="49"/>
      <c r="C387" s="49"/>
      <c r="I387" s="111">
        <v>28.0</v>
      </c>
      <c r="J387" s="111" t="s">
        <v>681</v>
      </c>
      <c r="K387" s="69"/>
      <c r="L387" s="69"/>
      <c r="M387" s="69"/>
      <c r="N387" s="69"/>
      <c r="O387" s="69"/>
    </row>
    <row r="388">
      <c r="A388" s="72"/>
      <c r="B388" s="58"/>
      <c r="C388" s="49"/>
      <c r="I388" s="111">
        <v>97.0</v>
      </c>
      <c r="J388" s="111" t="s">
        <v>684</v>
      </c>
      <c r="K388" s="113" t="s">
        <v>438</v>
      </c>
      <c r="L388" s="69"/>
      <c r="M388" s="69"/>
      <c r="N388" s="69"/>
      <c r="O388" s="69"/>
    </row>
  </sheetData>
  <mergeCells count="361">
    <mergeCell ref="A334:G334"/>
    <mergeCell ref="A335:G335"/>
    <mergeCell ref="A336:G336"/>
    <mergeCell ref="A337:G337"/>
    <mergeCell ref="A338:G338"/>
    <mergeCell ref="C340:G340"/>
    <mergeCell ref="C341:G341"/>
    <mergeCell ref="C342:G342"/>
    <mergeCell ref="C343:G343"/>
    <mergeCell ref="C344:G344"/>
    <mergeCell ref="C345:G345"/>
    <mergeCell ref="C346:G346"/>
    <mergeCell ref="C347:G347"/>
    <mergeCell ref="C348:G348"/>
    <mergeCell ref="C288:G288"/>
    <mergeCell ref="C289:G289"/>
    <mergeCell ref="C290:G290"/>
    <mergeCell ref="C291:G291"/>
    <mergeCell ref="C292:G292"/>
    <mergeCell ref="C293:G293"/>
    <mergeCell ref="C294:G294"/>
    <mergeCell ref="C295:G295"/>
    <mergeCell ref="I309:O310"/>
    <mergeCell ref="A310:D310"/>
    <mergeCell ref="A312:G312"/>
    <mergeCell ref="A313:G313"/>
    <mergeCell ref="A314:G314"/>
    <mergeCell ref="A315:G315"/>
    <mergeCell ref="S321:W321"/>
    <mergeCell ref="S322:W322"/>
    <mergeCell ref="S323:W323"/>
    <mergeCell ref="S324:W324"/>
    <mergeCell ref="S325:W325"/>
    <mergeCell ref="S326:W326"/>
    <mergeCell ref="S327:W327"/>
    <mergeCell ref="A316:G316"/>
    <mergeCell ref="A317:G317"/>
    <mergeCell ref="Q317:W318"/>
    <mergeCell ref="A318:G318"/>
    <mergeCell ref="A319:G319"/>
    <mergeCell ref="S319:W319"/>
    <mergeCell ref="S320:W320"/>
    <mergeCell ref="A320:G320"/>
    <mergeCell ref="A321:G321"/>
    <mergeCell ref="A322:G322"/>
    <mergeCell ref="A323:G323"/>
    <mergeCell ref="A324:G324"/>
    <mergeCell ref="A325:G325"/>
    <mergeCell ref="A327:G327"/>
    <mergeCell ref="A328:G328"/>
    <mergeCell ref="A329:G329"/>
    <mergeCell ref="I329:O330"/>
    <mergeCell ref="A330:G330"/>
    <mergeCell ref="A331:G331"/>
    <mergeCell ref="A332:G332"/>
    <mergeCell ref="A333:G333"/>
    <mergeCell ref="A350:D350"/>
    <mergeCell ref="I350:O351"/>
    <mergeCell ref="A352:G352"/>
    <mergeCell ref="A353:G353"/>
    <mergeCell ref="A354:G354"/>
    <mergeCell ref="A355:G355"/>
    <mergeCell ref="A356:G356"/>
    <mergeCell ref="A1:D1"/>
    <mergeCell ref="A35:D35"/>
    <mergeCell ref="A42:D42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5:F55"/>
    <mergeCell ref="A56:F56"/>
    <mergeCell ref="A57:F57"/>
    <mergeCell ref="A58:F58"/>
    <mergeCell ref="A59:F59"/>
    <mergeCell ref="A60:F60"/>
    <mergeCell ref="A61:F61"/>
    <mergeCell ref="A62:F62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A76:D76"/>
    <mergeCell ref="A78:F78"/>
    <mergeCell ref="A79:F79"/>
    <mergeCell ref="A80:F80"/>
    <mergeCell ref="G81:M82"/>
    <mergeCell ref="N81:T82"/>
    <mergeCell ref="A81:F81"/>
    <mergeCell ref="A82:F82"/>
    <mergeCell ref="A83:F83"/>
    <mergeCell ref="A84:F84"/>
    <mergeCell ref="A85:F85"/>
    <mergeCell ref="A86:F86"/>
    <mergeCell ref="A87:F87"/>
    <mergeCell ref="A88:F88"/>
    <mergeCell ref="A89:F89"/>
    <mergeCell ref="A91:F91"/>
    <mergeCell ref="A92:F92"/>
    <mergeCell ref="A93:F93"/>
    <mergeCell ref="A94:F94"/>
    <mergeCell ref="A95:F95"/>
    <mergeCell ref="A96:F96"/>
    <mergeCell ref="A97:F97"/>
    <mergeCell ref="A98:F98"/>
    <mergeCell ref="A99:F99"/>
    <mergeCell ref="A100:F100"/>
    <mergeCell ref="A101:F101"/>
    <mergeCell ref="A102:F102"/>
    <mergeCell ref="A103:F103"/>
    <mergeCell ref="B105:F105"/>
    <mergeCell ref="B106:F106"/>
    <mergeCell ref="B107:F107"/>
    <mergeCell ref="B108:F108"/>
    <mergeCell ref="A110:D110"/>
    <mergeCell ref="A112:F112"/>
    <mergeCell ref="A113:F113"/>
    <mergeCell ref="A114:F114"/>
    <mergeCell ref="A115:F115"/>
    <mergeCell ref="A116:F116"/>
    <mergeCell ref="A117:F117"/>
    <mergeCell ref="G117:M118"/>
    <mergeCell ref="O117:U118"/>
    <mergeCell ref="A118:F118"/>
    <mergeCell ref="A119:F119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30:F130"/>
    <mergeCell ref="A131:F131"/>
    <mergeCell ref="A132:F132"/>
    <mergeCell ref="A133:F133"/>
    <mergeCell ref="A134:F134"/>
    <mergeCell ref="A135:F135"/>
    <mergeCell ref="A136:F136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A147:D147"/>
    <mergeCell ref="H147:N148"/>
    <mergeCell ref="P147:V148"/>
    <mergeCell ref="A149:F149"/>
    <mergeCell ref="A150:F150"/>
    <mergeCell ref="A151:F151"/>
    <mergeCell ref="A152:F152"/>
    <mergeCell ref="A153:F153"/>
    <mergeCell ref="A154:F154"/>
    <mergeCell ref="A155:F155"/>
    <mergeCell ref="A156:F156"/>
    <mergeCell ref="A157:F157"/>
    <mergeCell ref="A159:F159"/>
    <mergeCell ref="A160:F160"/>
    <mergeCell ref="A161:F161"/>
    <mergeCell ref="A162:F162"/>
    <mergeCell ref="A163:F163"/>
    <mergeCell ref="A164:F164"/>
    <mergeCell ref="A165:F165"/>
    <mergeCell ref="A166:F166"/>
    <mergeCell ref="A167:F167"/>
    <mergeCell ref="A168:F168"/>
    <mergeCell ref="A169:F169"/>
    <mergeCell ref="C171:G171"/>
    <mergeCell ref="H179:N180"/>
    <mergeCell ref="P179:V180"/>
    <mergeCell ref="C172:G172"/>
    <mergeCell ref="C173:G173"/>
    <mergeCell ref="C174:G174"/>
    <mergeCell ref="C175:G175"/>
    <mergeCell ref="C176:G176"/>
    <mergeCell ref="B177:F177"/>
    <mergeCell ref="A178:D178"/>
    <mergeCell ref="A180:F180"/>
    <mergeCell ref="A181:F181"/>
    <mergeCell ref="A182:F182"/>
    <mergeCell ref="A183:F183"/>
    <mergeCell ref="A184:F184"/>
    <mergeCell ref="A185:F185"/>
    <mergeCell ref="A186:F186"/>
    <mergeCell ref="A187:F187"/>
    <mergeCell ref="A188:F188"/>
    <mergeCell ref="A189:F189"/>
    <mergeCell ref="A190:F190"/>
    <mergeCell ref="A191:F191"/>
    <mergeCell ref="A192:F192"/>
    <mergeCell ref="A193:F193"/>
    <mergeCell ref="A238:F238"/>
    <mergeCell ref="A239:F239"/>
    <mergeCell ref="A240:F240"/>
    <mergeCell ref="A241:F241"/>
    <mergeCell ref="R242:V242"/>
    <mergeCell ref="R243:V243"/>
    <mergeCell ref="R244:V244"/>
    <mergeCell ref="R245:V245"/>
    <mergeCell ref="R246:V246"/>
    <mergeCell ref="A236:F236"/>
    <mergeCell ref="P236:V237"/>
    <mergeCell ref="A237:F237"/>
    <mergeCell ref="R238:V238"/>
    <mergeCell ref="R239:V239"/>
    <mergeCell ref="R240:V240"/>
    <mergeCell ref="R241:V241"/>
    <mergeCell ref="A194:F194"/>
    <mergeCell ref="A195:F195"/>
    <mergeCell ref="A196:F196"/>
    <mergeCell ref="A197:F197"/>
    <mergeCell ref="A198:F198"/>
    <mergeCell ref="A199:F199"/>
    <mergeCell ref="A200:F200"/>
    <mergeCell ref="A201:F201"/>
    <mergeCell ref="A202:F202"/>
    <mergeCell ref="K202:Q203"/>
    <mergeCell ref="A203:F203"/>
    <mergeCell ref="A204:F204"/>
    <mergeCell ref="M204:Q204"/>
    <mergeCell ref="M205:Q205"/>
    <mergeCell ref="M206:Q206"/>
    <mergeCell ref="A205:F205"/>
    <mergeCell ref="A206:F206"/>
    <mergeCell ref="A207:F207"/>
    <mergeCell ref="A208:F208"/>
    <mergeCell ref="C210:G210"/>
    <mergeCell ref="C211:G211"/>
    <mergeCell ref="C212:G212"/>
    <mergeCell ref="C213:G213"/>
    <mergeCell ref="C214:G214"/>
    <mergeCell ref="C215:G215"/>
    <mergeCell ref="C216:G216"/>
    <mergeCell ref="C217:G217"/>
    <mergeCell ref="A220:D220"/>
    <mergeCell ref="H221:N222"/>
    <mergeCell ref="A222:F222"/>
    <mergeCell ref="A223:F223"/>
    <mergeCell ref="A224:F224"/>
    <mergeCell ref="A225:F225"/>
    <mergeCell ref="A226:F226"/>
    <mergeCell ref="A227:F227"/>
    <mergeCell ref="A228:F228"/>
    <mergeCell ref="A229:F229"/>
    <mergeCell ref="A230:F230"/>
    <mergeCell ref="A231:F231"/>
    <mergeCell ref="A232:F232"/>
    <mergeCell ref="A233:F233"/>
    <mergeCell ref="A234:F234"/>
    <mergeCell ref="A235:F235"/>
    <mergeCell ref="H241:N242"/>
    <mergeCell ref="A242:F242"/>
    <mergeCell ref="A243:F243"/>
    <mergeCell ref="A244:F244"/>
    <mergeCell ref="A245:F245"/>
    <mergeCell ref="A246:F246"/>
    <mergeCell ref="C248:G248"/>
    <mergeCell ref="C249:G249"/>
    <mergeCell ref="C250:G250"/>
    <mergeCell ref="C251:G251"/>
    <mergeCell ref="C252:G252"/>
    <mergeCell ref="C253:G253"/>
    <mergeCell ref="C254:G254"/>
    <mergeCell ref="C255:G255"/>
    <mergeCell ref="C256:G256"/>
    <mergeCell ref="C257:G257"/>
    <mergeCell ref="C258:G258"/>
    <mergeCell ref="C259:G259"/>
    <mergeCell ref="A261:F261"/>
    <mergeCell ref="A262:F262"/>
    <mergeCell ref="A263:F263"/>
    <mergeCell ref="R269:V269"/>
    <mergeCell ref="R270:V270"/>
    <mergeCell ref="R271:V271"/>
    <mergeCell ref="R272:V272"/>
    <mergeCell ref="R273:V273"/>
    <mergeCell ref="R274:V274"/>
    <mergeCell ref="R275:V275"/>
    <mergeCell ref="A264:D264"/>
    <mergeCell ref="H265:N266"/>
    <mergeCell ref="P265:V266"/>
    <mergeCell ref="A266:G266"/>
    <mergeCell ref="A267:G267"/>
    <mergeCell ref="R267:V267"/>
    <mergeCell ref="R268:V268"/>
    <mergeCell ref="A268:G268"/>
    <mergeCell ref="A269:G269"/>
    <mergeCell ref="A270:G270"/>
    <mergeCell ref="A271:G271"/>
    <mergeCell ref="A272:G272"/>
    <mergeCell ref="A273:G273"/>
    <mergeCell ref="A274:G274"/>
    <mergeCell ref="A275:G275"/>
    <mergeCell ref="A276:G276"/>
    <mergeCell ref="A277:F277"/>
    <mergeCell ref="A278:G278"/>
    <mergeCell ref="A279:G279"/>
    <mergeCell ref="A280:G280"/>
    <mergeCell ref="A281:G281"/>
    <mergeCell ref="A282:G282"/>
    <mergeCell ref="A283:G283"/>
    <mergeCell ref="A284:G284"/>
    <mergeCell ref="A285:G285"/>
    <mergeCell ref="H285:N286"/>
    <mergeCell ref="A286:F286"/>
    <mergeCell ref="C287:G287"/>
    <mergeCell ref="A357:G357"/>
    <mergeCell ref="A358:G358"/>
    <mergeCell ref="A359:G359"/>
    <mergeCell ref="A360:G360"/>
    <mergeCell ref="A361:G361"/>
    <mergeCell ref="A362:G362"/>
    <mergeCell ref="A363:G363"/>
    <mergeCell ref="A364:G364"/>
    <mergeCell ref="A366:G366"/>
    <mergeCell ref="A367:G367"/>
    <mergeCell ref="P367:V368"/>
    <mergeCell ref="A368:G368"/>
    <mergeCell ref="A369:G369"/>
    <mergeCell ref="R369:V369"/>
    <mergeCell ref="R372:V372"/>
    <mergeCell ref="R373:V373"/>
    <mergeCell ref="A370:G370"/>
    <mergeCell ref="I370:O371"/>
    <mergeCell ref="R370:V370"/>
    <mergeCell ref="A371:G371"/>
    <mergeCell ref="R371:V371"/>
    <mergeCell ref="A372:G372"/>
    <mergeCell ref="A373:G373"/>
    <mergeCell ref="A374:G374"/>
    <mergeCell ref="R374:V374"/>
    <mergeCell ref="A375:G375"/>
    <mergeCell ref="R375:V375"/>
    <mergeCell ref="C376:G376"/>
    <mergeCell ref="R376:V376"/>
    <mergeCell ref="R377:V377"/>
    <mergeCell ref="C384:G384"/>
    <mergeCell ref="C386:G386"/>
    <mergeCell ref="C387:G387"/>
    <mergeCell ref="C388:G388"/>
    <mergeCell ref="C377:G377"/>
    <mergeCell ref="C378:G378"/>
    <mergeCell ref="C379:G379"/>
    <mergeCell ref="C380:G380"/>
    <mergeCell ref="C381:G381"/>
    <mergeCell ref="C382:G382"/>
    <mergeCell ref="C383:G38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1">
      <c r="A1" s="116" t="s">
        <v>747</v>
      </c>
      <c r="B1" s="116" t="s">
        <v>748</v>
      </c>
      <c r="C1" s="116" t="s">
        <v>749</v>
      </c>
      <c r="D1" s="116" t="s">
        <v>750</v>
      </c>
      <c r="E1" s="116" t="s">
        <v>751</v>
      </c>
      <c r="F1" s="116" t="s">
        <v>752</v>
      </c>
      <c r="G1" s="116" t="s">
        <v>753</v>
      </c>
      <c r="H1" s="116" t="s">
        <v>754</v>
      </c>
      <c r="I1" s="116" t="s">
        <v>755</v>
      </c>
      <c r="J1" s="116" t="s">
        <v>756</v>
      </c>
      <c r="K1" s="116" t="s">
        <v>757</v>
      </c>
      <c r="L1" s="116" t="s">
        <v>758</v>
      </c>
      <c r="M1" s="116" t="s">
        <v>759</v>
      </c>
      <c r="N1" s="116" t="s">
        <v>760</v>
      </c>
      <c r="O1" s="116" t="s">
        <v>761</v>
      </c>
      <c r="P1" s="116" t="s">
        <v>762</v>
      </c>
      <c r="Q1" s="116" t="s">
        <v>763</v>
      </c>
      <c r="R1" s="116" t="s">
        <v>764</v>
      </c>
      <c r="S1" s="116" t="s">
        <v>765</v>
      </c>
      <c r="T1" s="116" t="s">
        <v>766</v>
      </c>
      <c r="U1" s="116" t="s">
        <v>767</v>
      </c>
      <c r="V1" s="116" t="s">
        <v>768</v>
      </c>
      <c r="W1" s="116" t="s">
        <v>769</v>
      </c>
      <c r="X1" s="116" t="s">
        <v>770</v>
      </c>
      <c r="Y1" s="116" t="s">
        <v>771</v>
      </c>
      <c r="Z1" s="116" t="s">
        <v>772</v>
      </c>
      <c r="AA1" s="116" t="s">
        <v>773</v>
      </c>
      <c r="AB1" s="116" t="s">
        <v>774</v>
      </c>
      <c r="AC1" s="116" t="s">
        <v>775</v>
      </c>
      <c r="AD1" s="116" t="s">
        <v>776</v>
      </c>
      <c r="AE1" s="116"/>
      <c r="AF1" s="116"/>
      <c r="AG1" s="116"/>
    </row>
    <row r="2">
      <c r="A2" s="117">
        <v>45989.0</v>
      </c>
      <c r="B2" s="116" t="s">
        <v>777</v>
      </c>
      <c r="C2" s="116">
        <v>3.0</v>
      </c>
      <c r="D2" s="116">
        <v>3.0</v>
      </c>
      <c r="E2" s="116">
        <v>39.0</v>
      </c>
      <c r="F2" s="118">
        <v>0.38</v>
      </c>
      <c r="G2" s="118">
        <v>0.41</v>
      </c>
      <c r="H2" s="118">
        <v>0.31</v>
      </c>
      <c r="I2" s="118">
        <v>0.21</v>
      </c>
      <c r="J2" s="116">
        <v>9.0</v>
      </c>
      <c r="K2" s="116">
        <v>397.0</v>
      </c>
      <c r="L2" s="118">
        <v>0.85</v>
      </c>
      <c r="M2" s="118">
        <v>0.15</v>
      </c>
      <c r="N2" s="116">
        <v>5.0</v>
      </c>
      <c r="O2" s="116">
        <v>9.0</v>
      </c>
      <c r="P2" s="116">
        <v>19.0</v>
      </c>
      <c r="Q2" s="116">
        <v>17.0</v>
      </c>
      <c r="R2" s="116">
        <v>3.1</v>
      </c>
      <c r="S2" s="116">
        <v>47.0</v>
      </c>
      <c r="T2" s="119">
        <v>0.31</v>
      </c>
      <c r="U2" s="119">
        <v>0.47</v>
      </c>
      <c r="V2" s="119">
        <v>0.22</v>
      </c>
      <c r="W2" s="119">
        <v>0.14</v>
      </c>
      <c r="X2" s="119">
        <v>0.44</v>
      </c>
      <c r="Y2" s="119">
        <v>0.42</v>
      </c>
      <c r="Z2" s="119">
        <v>0.48</v>
      </c>
      <c r="AA2" s="119">
        <v>0.29</v>
      </c>
      <c r="AB2" s="119">
        <v>0.13</v>
      </c>
      <c r="AC2" s="119">
        <v>0.09</v>
      </c>
      <c r="AD2" s="119">
        <v>0.01</v>
      </c>
      <c r="AE2" s="119"/>
      <c r="AF2" s="119"/>
      <c r="AG2" s="119"/>
    </row>
    <row r="3">
      <c r="A3" s="117">
        <v>45989.0</v>
      </c>
      <c r="B3" s="116" t="s">
        <v>778</v>
      </c>
      <c r="C3" s="116">
        <v>7.0</v>
      </c>
      <c r="D3" s="116">
        <v>4.0</v>
      </c>
      <c r="E3" s="116">
        <v>38.0</v>
      </c>
      <c r="F3" s="118">
        <v>0.39</v>
      </c>
      <c r="G3" s="118">
        <v>0.47</v>
      </c>
      <c r="H3" s="118">
        <v>0.24</v>
      </c>
      <c r="I3" s="118">
        <v>0.13</v>
      </c>
      <c r="J3" s="116">
        <v>10.0</v>
      </c>
      <c r="K3" s="116">
        <v>288.0</v>
      </c>
      <c r="L3" s="118">
        <v>0.82</v>
      </c>
      <c r="M3" s="118">
        <v>0.18</v>
      </c>
      <c r="N3" s="116">
        <v>8.0</v>
      </c>
      <c r="O3" s="116">
        <v>12.0</v>
      </c>
      <c r="P3" s="116">
        <v>15.0</v>
      </c>
      <c r="Q3" s="116">
        <v>18.0</v>
      </c>
      <c r="R3" s="116">
        <v>2.2</v>
      </c>
      <c r="S3" s="116">
        <v>45.0</v>
      </c>
      <c r="T3" s="119">
        <v>0.41</v>
      </c>
      <c r="U3" s="119">
        <v>0.36</v>
      </c>
      <c r="V3" s="119">
        <v>0.23</v>
      </c>
      <c r="W3" s="119">
        <v>0.25</v>
      </c>
      <c r="X3" s="119">
        <v>0.33</v>
      </c>
      <c r="Y3" s="119">
        <v>0.42</v>
      </c>
      <c r="Z3" s="119">
        <v>0.42</v>
      </c>
      <c r="AA3" s="119">
        <v>0.28</v>
      </c>
      <c r="AB3" s="119">
        <v>0.12</v>
      </c>
      <c r="AC3" s="119">
        <v>0.15</v>
      </c>
      <c r="AD3" s="119">
        <v>0.01</v>
      </c>
    </row>
    <row r="4">
      <c r="A4" s="117">
        <v>45990.0</v>
      </c>
      <c r="B4" s="116" t="s">
        <v>777</v>
      </c>
      <c r="C4" s="116">
        <v>3.0</v>
      </c>
      <c r="D4" s="116">
        <v>1.0</v>
      </c>
      <c r="E4" s="116">
        <v>44.0</v>
      </c>
      <c r="F4" s="118">
        <v>0.23</v>
      </c>
      <c r="G4" s="118">
        <v>0.27</v>
      </c>
      <c r="H4" s="118">
        <v>0.18</v>
      </c>
      <c r="I4" s="118">
        <v>0.5</v>
      </c>
      <c r="J4" s="116">
        <v>8.0</v>
      </c>
      <c r="K4" s="116">
        <v>446.0</v>
      </c>
      <c r="L4" s="118">
        <v>0.85</v>
      </c>
      <c r="M4" s="118">
        <v>0.15</v>
      </c>
      <c r="N4" s="116">
        <v>3.0</v>
      </c>
      <c r="O4" s="116">
        <v>5.0</v>
      </c>
      <c r="P4" s="116">
        <v>11.0</v>
      </c>
      <c r="Q4" s="116">
        <v>12.0</v>
      </c>
      <c r="R4" s="116">
        <v>3.7</v>
      </c>
      <c r="S4" s="116">
        <v>29.0</v>
      </c>
      <c r="T4" s="119">
        <v>0.27</v>
      </c>
      <c r="U4" s="119">
        <v>0.56</v>
      </c>
      <c r="V4" s="119">
        <v>0.17</v>
      </c>
      <c r="W4" s="119">
        <v>0.1</v>
      </c>
      <c r="X4" s="119">
        <v>0.49</v>
      </c>
      <c r="Y4" s="119">
        <v>0.41</v>
      </c>
      <c r="Z4" s="119">
        <v>0.43</v>
      </c>
      <c r="AA4" s="119">
        <v>0.33</v>
      </c>
      <c r="AB4" s="119">
        <v>0.09</v>
      </c>
      <c r="AC4" s="119">
        <v>0.06</v>
      </c>
      <c r="AD4" s="119">
        <v>0.01</v>
      </c>
      <c r="AF4" s="43" t="s">
        <v>747</v>
      </c>
      <c r="AG4" s="43" t="s">
        <v>779</v>
      </c>
    </row>
    <row r="5">
      <c r="A5" s="117">
        <v>45990.0</v>
      </c>
      <c r="B5" s="116" t="s">
        <v>778</v>
      </c>
      <c r="C5" s="116">
        <v>8.0</v>
      </c>
      <c r="D5" s="116">
        <v>8.0</v>
      </c>
      <c r="E5" s="116">
        <v>24.0</v>
      </c>
      <c r="F5" s="118">
        <v>0.54</v>
      </c>
      <c r="G5" s="118">
        <v>0.33</v>
      </c>
      <c r="H5" s="118">
        <v>0.21</v>
      </c>
      <c r="I5" s="118">
        <v>0.13</v>
      </c>
      <c r="J5" s="116">
        <v>5.0</v>
      </c>
      <c r="K5" s="116">
        <v>301.0</v>
      </c>
      <c r="L5" s="118">
        <v>0.78</v>
      </c>
      <c r="M5" s="118">
        <v>0.24</v>
      </c>
      <c r="N5" s="116">
        <v>22.0</v>
      </c>
      <c r="O5" s="116">
        <v>8.0</v>
      </c>
      <c r="P5" s="116">
        <v>7.0</v>
      </c>
      <c r="Q5" s="116">
        <v>16.0</v>
      </c>
      <c r="R5" s="116">
        <v>3.1</v>
      </c>
      <c r="S5" s="116">
        <v>33.0</v>
      </c>
      <c r="T5" s="119">
        <v>0.36</v>
      </c>
      <c r="U5" s="119">
        <v>0.57</v>
      </c>
      <c r="V5" s="119">
        <v>0.07</v>
      </c>
      <c r="W5" s="119">
        <v>0.28</v>
      </c>
      <c r="X5" s="119">
        <v>0.35</v>
      </c>
      <c r="Y5" s="119">
        <v>0.37</v>
      </c>
      <c r="Z5" s="119">
        <v>0.51</v>
      </c>
      <c r="AA5" s="119">
        <v>0.22</v>
      </c>
      <c r="AB5" s="119">
        <v>0.12</v>
      </c>
      <c r="AC5" s="119">
        <v>0.1</v>
      </c>
      <c r="AD5" s="119">
        <v>0.01</v>
      </c>
      <c r="AF5" s="120">
        <f>IFERROR(__xludf.DUMMYFUNCTION("SORT(
CHOOSECOLS(
FILTER({$A$2:$A1028, $C$2:$AD1028}, $B$2:$B1028=""Saint Louis Ambush""),
1,
MATCH($A$44, $C$1:$AD$1, 0) + 1
),
1, TRUE
)"),45989.0)</f>
        <v>45989</v>
      </c>
      <c r="AG5" s="121">
        <f>IFERROR(__xludf.DUMMYFUNCTION("""COMPUTED_VALUE"""),0.13)</f>
        <v>0.13</v>
      </c>
    </row>
    <row r="6">
      <c r="A6" s="117">
        <v>46006.0</v>
      </c>
      <c r="B6" s="116" t="s">
        <v>777</v>
      </c>
      <c r="C6" s="116">
        <v>7.0</v>
      </c>
      <c r="D6" s="116">
        <v>3.0</v>
      </c>
      <c r="E6" s="116">
        <v>34.0</v>
      </c>
      <c r="F6" s="118">
        <v>0.47</v>
      </c>
      <c r="G6" s="118">
        <v>0.32</v>
      </c>
      <c r="H6" s="118">
        <v>0.26</v>
      </c>
      <c r="I6" s="118">
        <v>0.21</v>
      </c>
      <c r="J6" s="116">
        <v>16.0</v>
      </c>
      <c r="K6" s="116">
        <v>335.0</v>
      </c>
      <c r="L6" s="118">
        <v>0.84</v>
      </c>
      <c r="M6" s="118">
        <v>0.16</v>
      </c>
      <c r="N6" s="116">
        <v>6.0</v>
      </c>
      <c r="O6" s="116">
        <v>15.0</v>
      </c>
      <c r="P6" s="116">
        <v>12.0</v>
      </c>
      <c r="Q6" s="116">
        <v>17.0</v>
      </c>
      <c r="R6" s="116">
        <v>3.2</v>
      </c>
      <c r="S6" s="116">
        <v>27.0</v>
      </c>
      <c r="T6" s="119">
        <v>0.28</v>
      </c>
      <c r="U6" s="119">
        <v>0.53</v>
      </c>
      <c r="V6" s="119">
        <v>0.19</v>
      </c>
      <c r="W6" s="119">
        <v>0.16</v>
      </c>
      <c r="X6" s="119">
        <v>0.38</v>
      </c>
      <c r="Y6" s="119">
        <v>0.46</v>
      </c>
      <c r="Z6" s="119">
        <v>0.47</v>
      </c>
      <c r="AA6" s="119">
        <v>0.29</v>
      </c>
      <c r="AB6" s="119">
        <v>0.14</v>
      </c>
      <c r="AC6" s="119">
        <v>0.05</v>
      </c>
      <c r="AD6" s="119">
        <v>0.03</v>
      </c>
      <c r="AF6" s="122">
        <f>IFERROR(__xludf.DUMMYFUNCTION("""COMPUTED_VALUE"""),45990.0)</f>
        <v>45990</v>
      </c>
      <c r="AG6" s="121">
        <f>IFERROR(__xludf.DUMMYFUNCTION("""COMPUTED_VALUE"""),0.09)</f>
        <v>0.09</v>
      </c>
    </row>
    <row r="7">
      <c r="A7" s="117">
        <v>46006.0</v>
      </c>
      <c r="B7" s="116" t="s">
        <v>780</v>
      </c>
      <c r="C7" s="116">
        <v>6.0</v>
      </c>
      <c r="D7" s="116">
        <v>3.0</v>
      </c>
      <c r="E7" s="116">
        <v>33.0</v>
      </c>
      <c r="F7" s="118">
        <v>0.64</v>
      </c>
      <c r="G7" s="118">
        <v>0.18</v>
      </c>
      <c r="H7" s="118">
        <v>0.45</v>
      </c>
      <c r="I7" s="118">
        <v>0.18</v>
      </c>
      <c r="J7" s="116">
        <v>12.0</v>
      </c>
      <c r="K7" s="116">
        <v>539.0</v>
      </c>
      <c r="L7" s="118">
        <v>0.89</v>
      </c>
      <c r="M7" s="118">
        <v>0.11</v>
      </c>
      <c r="N7" s="116">
        <v>7.0</v>
      </c>
      <c r="O7" s="116">
        <v>9.0</v>
      </c>
      <c r="P7" s="116">
        <v>19.0</v>
      </c>
      <c r="Q7" s="116">
        <v>12.0</v>
      </c>
      <c r="R7" s="116">
        <v>5.1</v>
      </c>
      <c r="S7" s="116">
        <v>26.0</v>
      </c>
      <c r="T7" s="119">
        <v>0.37</v>
      </c>
      <c r="U7" s="119">
        <v>0.43</v>
      </c>
      <c r="V7" s="119">
        <v>0.2</v>
      </c>
      <c r="W7" s="119">
        <v>0.18</v>
      </c>
      <c r="X7" s="119">
        <v>0.37</v>
      </c>
      <c r="Y7" s="119">
        <v>0.45</v>
      </c>
      <c r="Z7" s="119">
        <v>0.51</v>
      </c>
      <c r="AA7" s="119">
        <v>0.28</v>
      </c>
      <c r="AB7" s="119">
        <v>0.09</v>
      </c>
      <c r="AC7" s="119">
        <v>0.06</v>
      </c>
      <c r="AD7" s="119">
        <v>0.04</v>
      </c>
      <c r="AF7" s="122">
        <f>IFERROR(__xludf.DUMMYFUNCTION("""COMPUTED_VALUE"""),46006.0)</f>
        <v>46006</v>
      </c>
      <c r="AG7" s="121">
        <f>IFERROR(__xludf.DUMMYFUNCTION("""COMPUTED_VALUE"""),0.14)</f>
        <v>0.14</v>
      </c>
    </row>
    <row r="8">
      <c r="A8" s="117">
        <v>46010.0</v>
      </c>
      <c r="B8" s="116" t="s">
        <v>777</v>
      </c>
      <c r="C8" s="116">
        <v>5.0</v>
      </c>
      <c r="D8" s="116">
        <v>3.0</v>
      </c>
      <c r="E8" s="116">
        <v>29.0</v>
      </c>
      <c r="F8" s="118">
        <v>0.38</v>
      </c>
      <c r="G8" s="118">
        <v>0.41</v>
      </c>
      <c r="H8" s="118">
        <v>0.21</v>
      </c>
      <c r="I8" s="118">
        <v>0.21</v>
      </c>
      <c r="J8" s="116">
        <v>6.0</v>
      </c>
      <c r="K8" s="116">
        <v>187.0</v>
      </c>
      <c r="L8" s="118">
        <v>0.79</v>
      </c>
      <c r="M8" s="118">
        <v>0.21</v>
      </c>
      <c r="N8" s="116">
        <v>11.0</v>
      </c>
      <c r="O8" s="116">
        <v>19.0</v>
      </c>
      <c r="P8" s="116">
        <v>11.0</v>
      </c>
      <c r="Q8" s="116">
        <v>23.0</v>
      </c>
      <c r="R8" s="116">
        <v>2.0</v>
      </c>
      <c r="S8" s="116">
        <v>43.0</v>
      </c>
      <c r="T8" s="119">
        <v>0.33</v>
      </c>
      <c r="U8" s="119">
        <v>0.39</v>
      </c>
      <c r="V8" s="119">
        <v>0.28</v>
      </c>
      <c r="W8" s="119">
        <v>0.28</v>
      </c>
      <c r="X8" s="119">
        <v>0.3</v>
      </c>
      <c r="Y8" s="119">
        <v>0.42</v>
      </c>
      <c r="Z8" s="119">
        <v>0.38</v>
      </c>
      <c r="AA8" s="119">
        <v>0.28</v>
      </c>
      <c r="AB8" s="119">
        <v>0.21</v>
      </c>
      <c r="AC8" s="119">
        <v>0.08</v>
      </c>
      <c r="AD8" s="119">
        <v>0.03</v>
      </c>
      <c r="AF8" s="122">
        <f>IFERROR(__xludf.DUMMYFUNCTION("""COMPUTED_VALUE"""),46010.0)</f>
        <v>46010</v>
      </c>
      <c r="AG8" s="121">
        <f>IFERROR(__xludf.DUMMYFUNCTION("""COMPUTED_VALUE"""),0.21)</f>
        <v>0.21</v>
      </c>
    </row>
    <row r="9">
      <c r="A9" s="117">
        <v>46010.0</v>
      </c>
      <c r="B9" s="116" t="s">
        <v>780</v>
      </c>
      <c r="C9" s="116">
        <v>4.0</v>
      </c>
      <c r="D9" s="116">
        <v>0.0</v>
      </c>
      <c r="E9" s="116">
        <v>60.0</v>
      </c>
      <c r="F9" s="118">
        <v>0.38</v>
      </c>
      <c r="G9" s="118">
        <v>0.43</v>
      </c>
      <c r="H9" s="118">
        <v>0.32</v>
      </c>
      <c r="I9" s="118">
        <v>0.18</v>
      </c>
      <c r="J9" s="116">
        <v>6.0</v>
      </c>
      <c r="K9" s="116">
        <v>585.0</v>
      </c>
      <c r="L9" s="118">
        <v>0.94</v>
      </c>
      <c r="M9" s="118">
        <v>0.06</v>
      </c>
      <c r="N9" s="116">
        <v>6.0</v>
      </c>
      <c r="O9" s="116">
        <v>6.0</v>
      </c>
      <c r="P9" s="116">
        <v>10.0</v>
      </c>
      <c r="Q9" s="116">
        <v>17.0</v>
      </c>
      <c r="R9" s="116">
        <v>5.1</v>
      </c>
      <c r="S9" s="116">
        <v>45.0</v>
      </c>
      <c r="T9" s="119">
        <v>0.2</v>
      </c>
      <c r="U9" s="119">
        <v>0.4</v>
      </c>
      <c r="V9" s="119">
        <v>0.4</v>
      </c>
      <c r="W9" s="119">
        <v>0.13</v>
      </c>
      <c r="X9" s="119">
        <v>0.27</v>
      </c>
      <c r="Y9" s="119">
        <v>0.6</v>
      </c>
      <c r="Z9" s="119">
        <v>0.32</v>
      </c>
      <c r="AA9" s="119">
        <v>0.46</v>
      </c>
      <c r="AB9" s="119">
        <v>0.13</v>
      </c>
      <c r="AC9" s="119">
        <v>0.08</v>
      </c>
      <c r="AD9" s="119">
        <v>0.01</v>
      </c>
      <c r="AF9" s="122">
        <f>IFERROR(__xludf.DUMMYFUNCTION("""COMPUTED_VALUE"""),46012.0)</f>
        <v>46012</v>
      </c>
      <c r="AG9" s="121">
        <f>IFERROR(__xludf.DUMMYFUNCTION("""COMPUTED_VALUE"""),0.11)</f>
        <v>0.11</v>
      </c>
    </row>
    <row r="10">
      <c r="A10" s="117">
        <v>46012.0</v>
      </c>
      <c r="B10" s="116" t="s">
        <v>777</v>
      </c>
      <c r="C10" s="116">
        <v>2.0</v>
      </c>
      <c r="D10" s="116">
        <v>0.0</v>
      </c>
      <c r="E10" s="116">
        <v>50.0</v>
      </c>
      <c r="F10" s="118">
        <v>0.32</v>
      </c>
      <c r="G10" s="118">
        <v>0.42</v>
      </c>
      <c r="H10" s="118">
        <v>0.28</v>
      </c>
      <c r="I10" s="118">
        <v>0.26</v>
      </c>
      <c r="J10" s="116">
        <v>14.0</v>
      </c>
      <c r="K10" s="116">
        <v>453.0</v>
      </c>
      <c r="L10" s="118">
        <v>0.88</v>
      </c>
      <c r="M10" s="118">
        <v>0.12</v>
      </c>
      <c r="N10" s="116">
        <v>7.0</v>
      </c>
      <c r="O10" s="116">
        <v>15.0</v>
      </c>
      <c r="P10" s="116">
        <v>12.0</v>
      </c>
      <c r="Q10" s="116">
        <v>18.0</v>
      </c>
      <c r="R10" s="116">
        <v>3.0</v>
      </c>
      <c r="S10" s="116">
        <v>43.0</v>
      </c>
      <c r="T10" s="119">
        <v>0.39</v>
      </c>
      <c r="U10" s="119">
        <v>0.42</v>
      </c>
      <c r="V10" s="119">
        <v>0.19</v>
      </c>
      <c r="W10" s="119">
        <v>0.24</v>
      </c>
      <c r="X10" s="119">
        <v>0.32</v>
      </c>
      <c r="Y10" s="119">
        <v>0.44</v>
      </c>
      <c r="Z10" s="119">
        <v>0.46</v>
      </c>
      <c r="AA10" s="119">
        <v>0.3</v>
      </c>
      <c r="AB10" s="119">
        <v>0.11</v>
      </c>
      <c r="AC10" s="119">
        <v>0.08</v>
      </c>
      <c r="AD10" s="119">
        <v>0.02</v>
      </c>
      <c r="AE10" s="2"/>
      <c r="AF10" s="122">
        <f>IFERROR(__xludf.DUMMYFUNCTION("""COMPUTED_VALUE"""),46018.0)</f>
        <v>46018</v>
      </c>
      <c r="AG10" s="121">
        <f>IFERROR(__xludf.DUMMYFUNCTION("""COMPUTED_VALUE"""),0.1)</f>
        <v>0.1</v>
      </c>
    </row>
    <row r="11">
      <c r="A11" s="117">
        <v>46012.0</v>
      </c>
      <c r="B11" s="116" t="s">
        <v>781</v>
      </c>
      <c r="C11" s="116">
        <v>2.0</v>
      </c>
      <c r="D11" s="116">
        <v>2.0</v>
      </c>
      <c r="E11" s="116">
        <v>38.0</v>
      </c>
      <c r="F11" s="118">
        <v>0.47</v>
      </c>
      <c r="G11" s="118">
        <v>0.34</v>
      </c>
      <c r="H11" s="118">
        <v>0.39</v>
      </c>
      <c r="I11" s="118">
        <v>0.18</v>
      </c>
      <c r="J11" s="116">
        <v>5.0</v>
      </c>
      <c r="K11" s="116">
        <v>434.0</v>
      </c>
      <c r="L11" s="118">
        <v>0.85</v>
      </c>
      <c r="M11" s="118">
        <v>0.15</v>
      </c>
      <c r="N11" s="116">
        <v>13.0</v>
      </c>
      <c r="O11" s="116">
        <v>14.0</v>
      </c>
      <c r="P11" s="116">
        <v>26.0</v>
      </c>
      <c r="Q11" s="116">
        <v>22.0</v>
      </c>
      <c r="R11" s="116">
        <v>2.9</v>
      </c>
      <c r="S11" s="116">
        <v>47.0</v>
      </c>
      <c r="T11" s="119">
        <v>0.47</v>
      </c>
      <c r="U11" s="119">
        <v>0.28</v>
      </c>
      <c r="V11" s="119">
        <v>0.25</v>
      </c>
      <c r="W11" s="119">
        <v>0.23</v>
      </c>
      <c r="X11" s="119">
        <v>0.36</v>
      </c>
      <c r="Y11" s="119">
        <v>0.41</v>
      </c>
      <c r="Z11" s="119">
        <v>0.48</v>
      </c>
      <c r="AA11" s="119">
        <v>0.23</v>
      </c>
      <c r="AB11" s="119">
        <v>0.14</v>
      </c>
      <c r="AC11" s="119">
        <v>0.09</v>
      </c>
      <c r="AD11" s="119">
        <v>0.01</v>
      </c>
      <c r="AE11" s="2"/>
      <c r="AF11" s="122">
        <f>IFERROR(__xludf.DUMMYFUNCTION("""COMPUTED_VALUE"""),46022.0)</f>
        <v>46022</v>
      </c>
      <c r="AG11" s="121">
        <f>IFERROR(__xludf.DUMMYFUNCTION("""COMPUTED_VALUE"""),0.15)</f>
        <v>0.15</v>
      </c>
    </row>
    <row r="12">
      <c r="A12" s="117">
        <v>46018.0</v>
      </c>
      <c r="B12" s="116" t="s">
        <v>777</v>
      </c>
      <c r="C12" s="116">
        <v>6.0</v>
      </c>
      <c r="D12" s="116">
        <v>3.0</v>
      </c>
      <c r="E12" s="116">
        <v>18.0</v>
      </c>
      <c r="F12" s="123">
        <v>0.56</v>
      </c>
      <c r="G12" s="123">
        <v>0.44</v>
      </c>
      <c r="H12" s="118">
        <v>0.22</v>
      </c>
      <c r="I12" s="118">
        <v>0.0</v>
      </c>
      <c r="J12" s="116">
        <v>2.0</v>
      </c>
      <c r="K12" s="116">
        <v>333.0</v>
      </c>
      <c r="L12" s="118">
        <v>0.8</v>
      </c>
      <c r="M12" s="118">
        <v>0.2</v>
      </c>
      <c r="N12" s="116">
        <v>3.0</v>
      </c>
      <c r="O12" s="116">
        <v>14.0</v>
      </c>
      <c r="P12" s="116">
        <v>10.0</v>
      </c>
      <c r="Q12" s="116">
        <v>12.0</v>
      </c>
      <c r="R12" s="116">
        <v>2.9</v>
      </c>
      <c r="S12" s="116">
        <v>31.0</v>
      </c>
      <c r="T12" s="119">
        <v>0.36</v>
      </c>
      <c r="U12" s="119">
        <v>0.44</v>
      </c>
      <c r="V12" s="119">
        <v>0.2</v>
      </c>
      <c r="W12" s="119">
        <v>0.19</v>
      </c>
      <c r="X12" s="119">
        <v>0.46</v>
      </c>
      <c r="Y12" s="119">
        <v>0.35</v>
      </c>
      <c r="Z12" s="119">
        <v>0.56</v>
      </c>
      <c r="AA12" s="119">
        <v>0.15</v>
      </c>
      <c r="AB12" s="119">
        <v>0.1</v>
      </c>
      <c r="AC12" s="119">
        <v>0.11</v>
      </c>
      <c r="AD12" s="119">
        <v>0.02</v>
      </c>
      <c r="AE12" s="2"/>
      <c r="AF12" s="122">
        <f>IFERROR(__xludf.DUMMYFUNCTION("""COMPUTED_VALUE"""),46026.0)</f>
        <v>46026</v>
      </c>
      <c r="AG12" s="124">
        <f>IFERROR(__xludf.DUMMYFUNCTION("""COMPUTED_VALUE"""),0.1)</f>
        <v>0.1</v>
      </c>
    </row>
    <row r="13">
      <c r="A13" s="117">
        <v>46018.0</v>
      </c>
      <c r="B13" s="116" t="s">
        <v>781</v>
      </c>
      <c r="C13" s="116">
        <v>9.0</v>
      </c>
      <c r="D13" s="116">
        <v>6.0</v>
      </c>
      <c r="E13" s="116">
        <v>37.0</v>
      </c>
      <c r="F13" s="119">
        <v>0.62</v>
      </c>
      <c r="G13" s="119">
        <v>0.3</v>
      </c>
      <c r="H13" s="119">
        <v>0.38</v>
      </c>
      <c r="I13" s="119">
        <v>0.08</v>
      </c>
      <c r="J13" s="116">
        <v>0.0</v>
      </c>
      <c r="K13" s="116">
        <v>366.0</v>
      </c>
      <c r="L13" s="119">
        <v>0.87</v>
      </c>
      <c r="M13" s="119">
        <v>0.13</v>
      </c>
      <c r="N13" s="116">
        <v>0.0</v>
      </c>
      <c r="O13" s="116">
        <v>4.0</v>
      </c>
      <c r="P13" s="116">
        <v>18.0</v>
      </c>
      <c r="Q13" s="116">
        <v>12.0</v>
      </c>
      <c r="R13" s="116">
        <v>3.0</v>
      </c>
      <c r="S13" s="116">
        <v>37.0</v>
      </c>
      <c r="T13" s="119">
        <v>0.4</v>
      </c>
      <c r="U13" s="119">
        <v>0.35</v>
      </c>
      <c r="V13" s="118">
        <v>0.25</v>
      </c>
      <c r="W13" s="119">
        <v>0.18</v>
      </c>
      <c r="X13" s="119">
        <v>0.38</v>
      </c>
      <c r="Y13" s="119">
        <v>0.44</v>
      </c>
      <c r="Z13" s="119">
        <v>0.44</v>
      </c>
      <c r="AA13" s="119">
        <v>0.29</v>
      </c>
      <c r="AB13" s="119">
        <v>0.09</v>
      </c>
      <c r="AC13" s="119">
        <v>0.09</v>
      </c>
      <c r="AD13" s="119">
        <v>0.04</v>
      </c>
      <c r="AE13" s="2"/>
      <c r="AF13" s="122">
        <f>IFERROR(__xludf.DUMMYFUNCTION("""COMPUTED_VALUE"""),46033.0)</f>
        <v>46033</v>
      </c>
      <c r="AG13" s="124">
        <f>IFERROR(__xludf.DUMMYFUNCTION("""COMPUTED_VALUE"""),0.13)</f>
        <v>0.13</v>
      </c>
    </row>
    <row r="14">
      <c r="A14" s="117">
        <v>46022.0</v>
      </c>
      <c r="B14" s="116" t="s">
        <v>777</v>
      </c>
      <c r="C14" s="116">
        <v>5.0</v>
      </c>
      <c r="D14" s="116">
        <v>2.0</v>
      </c>
      <c r="E14" s="116">
        <v>36.0</v>
      </c>
      <c r="F14" s="123">
        <v>0.56</v>
      </c>
      <c r="G14" s="123">
        <v>0.36</v>
      </c>
      <c r="H14" s="118">
        <v>0.42</v>
      </c>
      <c r="I14" s="118">
        <v>0.08</v>
      </c>
      <c r="J14" s="116">
        <v>0.0</v>
      </c>
      <c r="K14" s="116">
        <v>447.0</v>
      </c>
      <c r="L14" s="118">
        <v>0.74</v>
      </c>
      <c r="M14" s="118">
        <v>0.26</v>
      </c>
      <c r="N14" s="116">
        <v>2.0</v>
      </c>
      <c r="O14" s="116">
        <v>12.0</v>
      </c>
      <c r="P14" s="116">
        <v>14.0</v>
      </c>
      <c r="Q14" s="116">
        <v>29.0</v>
      </c>
      <c r="R14" s="116">
        <v>2.7</v>
      </c>
      <c r="S14" s="116">
        <v>33.0</v>
      </c>
      <c r="T14" s="119">
        <v>0.39</v>
      </c>
      <c r="U14" s="119">
        <v>0.37</v>
      </c>
      <c r="V14" s="119">
        <v>0.24</v>
      </c>
      <c r="W14" s="119">
        <v>0.25</v>
      </c>
      <c r="X14" s="119">
        <v>0.29</v>
      </c>
      <c r="Y14" s="119">
        <v>0.46</v>
      </c>
      <c r="Z14" s="119">
        <v>0.61</v>
      </c>
      <c r="AA14" s="119">
        <v>0.21</v>
      </c>
      <c r="AB14" s="119">
        <v>0.15</v>
      </c>
      <c r="AC14" s="119">
        <v>0.0</v>
      </c>
      <c r="AD14" s="119">
        <v>0.02</v>
      </c>
      <c r="AE14" s="2"/>
      <c r="AF14" s="122">
        <f>IFERROR(__xludf.DUMMYFUNCTION("""COMPUTED_VALUE"""),46038.0)</f>
        <v>46038</v>
      </c>
      <c r="AG14" s="124">
        <f>IFERROR(__xludf.DUMMYFUNCTION("""COMPUTED_VALUE"""),0.18)</f>
        <v>0.18</v>
      </c>
    </row>
    <row r="15">
      <c r="A15" s="117">
        <v>46022.0</v>
      </c>
      <c r="B15" s="116" t="s">
        <v>781</v>
      </c>
      <c r="C15" s="116">
        <v>4.0</v>
      </c>
      <c r="D15" s="116">
        <v>2.0</v>
      </c>
      <c r="E15" s="116">
        <v>34.0</v>
      </c>
      <c r="F15" s="119">
        <v>0.47</v>
      </c>
      <c r="G15" s="119">
        <v>0.47</v>
      </c>
      <c r="H15" s="119">
        <v>0.35</v>
      </c>
      <c r="I15" s="119">
        <v>0.06</v>
      </c>
      <c r="J15" s="116">
        <v>0.0</v>
      </c>
      <c r="K15" s="116">
        <v>624.0</v>
      </c>
      <c r="L15" s="119">
        <v>0.83</v>
      </c>
      <c r="M15" s="119">
        <v>0.17</v>
      </c>
      <c r="N15" s="116">
        <v>3.0</v>
      </c>
      <c r="O15" s="116">
        <v>16.0</v>
      </c>
      <c r="P15" s="116">
        <v>19.0</v>
      </c>
      <c r="Q15" s="116">
        <v>20.0</v>
      </c>
      <c r="R15" s="116">
        <v>3.8</v>
      </c>
      <c r="S15" s="116">
        <v>28.0</v>
      </c>
      <c r="T15" s="119">
        <v>0.44</v>
      </c>
      <c r="U15" s="119">
        <v>0.39</v>
      </c>
      <c r="V15" s="118">
        <v>0.17</v>
      </c>
      <c r="W15" s="119">
        <v>0.28</v>
      </c>
      <c r="X15" s="119">
        <v>0.32</v>
      </c>
      <c r="Y15" s="119">
        <v>0.4</v>
      </c>
      <c r="Z15" s="119">
        <v>0.67</v>
      </c>
      <c r="AA15" s="119">
        <v>0.2</v>
      </c>
      <c r="AB15" s="119">
        <v>0.1</v>
      </c>
      <c r="AC15" s="119">
        <v>0.02</v>
      </c>
      <c r="AD15" s="119">
        <v>0.02</v>
      </c>
      <c r="AE15" s="2"/>
      <c r="AF15" s="122">
        <f>IFERROR(__xludf.DUMMYFUNCTION("""COMPUTED_VALUE"""),46046.0)</f>
        <v>46046</v>
      </c>
      <c r="AG15" s="124">
        <f>IFERROR(__xludf.DUMMYFUNCTION("""COMPUTED_VALUE"""),0.11)</f>
        <v>0.11</v>
      </c>
    </row>
    <row r="16">
      <c r="A16" s="117">
        <v>46026.0</v>
      </c>
      <c r="B16" s="116" t="s">
        <v>777</v>
      </c>
      <c r="C16" s="125">
        <v>7.0</v>
      </c>
      <c r="D16" s="116">
        <v>5.0</v>
      </c>
      <c r="E16" s="116">
        <v>44.0</v>
      </c>
      <c r="F16" s="118">
        <v>0.48</v>
      </c>
      <c r="G16" s="118">
        <v>0.3</v>
      </c>
      <c r="H16" s="118">
        <v>0.32</v>
      </c>
      <c r="I16" s="118">
        <v>0.25</v>
      </c>
      <c r="J16" s="116">
        <v>3.0</v>
      </c>
      <c r="K16" s="116">
        <v>308.0</v>
      </c>
      <c r="L16" s="118">
        <v>0.8</v>
      </c>
      <c r="M16" s="118">
        <v>0.2</v>
      </c>
      <c r="N16" s="116">
        <v>12.0</v>
      </c>
      <c r="O16" s="116">
        <v>20.0</v>
      </c>
      <c r="P16" s="116">
        <v>27.0</v>
      </c>
      <c r="Q16" s="116">
        <v>16.0</v>
      </c>
      <c r="R16" s="116">
        <v>2.6</v>
      </c>
      <c r="S16" s="116">
        <v>44.0</v>
      </c>
      <c r="T16" s="118">
        <v>0.36</v>
      </c>
      <c r="U16" s="118">
        <v>0.25</v>
      </c>
      <c r="V16" s="118">
        <v>0.39</v>
      </c>
      <c r="W16" s="118">
        <v>0.23</v>
      </c>
      <c r="X16" s="118">
        <v>0.28</v>
      </c>
      <c r="Y16" s="118">
        <v>0.49</v>
      </c>
      <c r="Z16" s="118">
        <v>0.46</v>
      </c>
      <c r="AA16" s="118">
        <v>0.28</v>
      </c>
      <c r="AB16" s="118">
        <v>0.1</v>
      </c>
      <c r="AC16" s="118">
        <v>0.13</v>
      </c>
      <c r="AD16" s="118">
        <v>0.02</v>
      </c>
      <c r="AE16" s="2"/>
      <c r="AF16" s="122">
        <f>IFERROR(__xludf.DUMMYFUNCTION("""COMPUTED_VALUE"""),46047.0)</f>
        <v>46047</v>
      </c>
      <c r="AG16" s="124">
        <f>IFERROR(__xludf.DUMMYFUNCTION("""COMPUTED_VALUE"""),0.09)</f>
        <v>0.09</v>
      </c>
    </row>
    <row r="17">
      <c r="A17" s="117">
        <v>46026.0</v>
      </c>
      <c r="B17" s="116" t="s">
        <v>781</v>
      </c>
      <c r="C17" s="125">
        <v>6.0</v>
      </c>
      <c r="D17" s="116">
        <v>5.0</v>
      </c>
      <c r="E17" s="116">
        <v>57.0</v>
      </c>
      <c r="F17" s="118">
        <v>0.46</v>
      </c>
      <c r="G17" s="118">
        <v>0.33</v>
      </c>
      <c r="H17" s="118">
        <v>0.35</v>
      </c>
      <c r="I17" s="118">
        <v>0.21</v>
      </c>
      <c r="J17" s="116">
        <v>11.0</v>
      </c>
      <c r="K17" s="116">
        <v>549.0</v>
      </c>
      <c r="L17" s="118">
        <v>0.91</v>
      </c>
      <c r="M17" s="118">
        <v>0.09</v>
      </c>
      <c r="N17" s="116">
        <v>10.0</v>
      </c>
      <c r="O17" s="116">
        <v>14.0</v>
      </c>
      <c r="P17" s="116">
        <v>13.0</v>
      </c>
      <c r="Q17" s="116">
        <v>17.0</v>
      </c>
      <c r="R17" s="116">
        <v>4.4</v>
      </c>
      <c r="S17" s="116">
        <v>38.0</v>
      </c>
      <c r="T17" s="118">
        <v>0.34</v>
      </c>
      <c r="U17" s="118">
        <v>0.31</v>
      </c>
      <c r="V17" s="118">
        <v>0.35</v>
      </c>
      <c r="W17" s="118">
        <v>0.09</v>
      </c>
      <c r="X17" s="118">
        <v>0.25</v>
      </c>
      <c r="Y17" s="118">
        <v>0.66</v>
      </c>
      <c r="Z17" s="118">
        <v>0.38</v>
      </c>
      <c r="AA17" s="118">
        <v>0.4</v>
      </c>
      <c r="AB17" s="118">
        <v>0.12</v>
      </c>
      <c r="AC17" s="118">
        <v>0.05</v>
      </c>
      <c r="AD17" s="118">
        <v>0.02</v>
      </c>
      <c r="AE17" s="2"/>
      <c r="AF17" s="122">
        <f>IFERROR(__xludf.DUMMYFUNCTION("""COMPUTED_VALUE"""),46060.0)</f>
        <v>46060</v>
      </c>
      <c r="AG17" s="124">
        <f>IFERROR(__xludf.DUMMYFUNCTION("""COMPUTED_VALUE"""),0.07)</f>
        <v>0.07</v>
      </c>
    </row>
    <row r="18">
      <c r="A18" s="117">
        <v>46033.0</v>
      </c>
      <c r="B18" s="116" t="s">
        <v>777</v>
      </c>
      <c r="C18" s="125">
        <v>6.0</v>
      </c>
      <c r="D18" s="116">
        <v>3.0</v>
      </c>
      <c r="E18" s="116">
        <v>21.0</v>
      </c>
      <c r="F18" s="118">
        <v>0.52</v>
      </c>
      <c r="G18" s="118">
        <v>0.29</v>
      </c>
      <c r="H18" s="118">
        <v>0.24</v>
      </c>
      <c r="I18" s="118">
        <v>0.19</v>
      </c>
      <c r="J18" s="116">
        <v>0.0</v>
      </c>
      <c r="K18" s="116">
        <v>366.0</v>
      </c>
      <c r="L18" s="118">
        <v>0.62</v>
      </c>
      <c r="M18" s="118">
        <v>0.38</v>
      </c>
      <c r="N18" s="116">
        <v>3.0</v>
      </c>
      <c r="O18" s="116">
        <v>3.0</v>
      </c>
      <c r="P18" s="116">
        <v>19.0</v>
      </c>
      <c r="Q18" s="116">
        <v>19.0</v>
      </c>
      <c r="R18" s="116">
        <v>2.8</v>
      </c>
      <c r="S18" s="116">
        <v>26.0</v>
      </c>
      <c r="T18" s="118">
        <v>0.49</v>
      </c>
      <c r="U18" s="118">
        <v>0.2</v>
      </c>
      <c r="V18" s="118">
        <v>0.31</v>
      </c>
      <c r="W18" s="118">
        <v>0.2</v>
      </c>
      <c r="X18" s="118">
        <v>0.29</v>
      </c>
      <c r="Y18" s="118">
        <v>0.51</v>
      </c>
      <c r="Z18" s="118">
        <v>0.64</v>
      </c>
      <c r="AA18" s="118">
        <v>0.17</v>
      </c>
      <c r="AB18" s="118">
        <v>0.13</v>
      </c>
      <c r="AC18" s="118">
        <v>0.03</v>
      </c>
      <c r="AD18" s="118">
        <v>0.03</v>
      </c>
      <c r="AF18" s="122">
        <f>IFERROR(__xludf.DUMMYFUNCTION("""COMPUTED_VALUE"""),46067.0)</f>
        <v>46067</v>
      </c>
      <c r="AG18" s="124">
        <f>IFERROR(__xludf.DUMMYFUNCTION("""COMPUTED_VALUE"""),0.17)</f>
        <v>0.17</v>
      </c>
    </row>
    <row r="19">
      <c r="A19" s="117">
        <v>46033.0</v>
      </c>
      <c r="B19" s="116" t="s">
        <v>782</v>
      </c>
      <c r="C19" s="125">
        <v>7.0</v>
      </c>
      <c r="D19" s="116">
        <v>0.0</v>
      </c>
      <c r="E19" s="116">
        <v>21.0</v>
      </c>
      <c r="F19" s="118">
        <v>0.38</v>
      </c>
      <c r="G19" s="118">
        <v>0.48</v>
      </c>
      <c r="H19" s="118">
        <v>0.14</v>
      </c>
      <c r="I19" s="118">
        <v>0.14</v>
      </c>
      <c r="J19" s="116">
        <v>1.0</v>
      </c>
      <c r="K19" s="116">
        <v>679.0</v>
      </c>
      <c r="L19" s="118">
        <v>0.78</v>
      </c>
      <c r="M19" s="118">
        <v>0.22</v>
      </c>
      <c r="N19" s="116">
        <v>4.0</v>
      </c>
      <c r="O19" s="116">
        <v>5.0</v>
      </c>
      <c r="P19" s="116">
        <v>23.0</v>
      </c>
      <c r="Q19" s="116">
        <v>14.0</v>
      </c>
      <c r="R19" s="116">
        <v>5.2</v>
      </c>
      <c r="S19" s="116">
        <v>17.0</v>
      </c>
      <c r="T19" s="118">
        <v>0.48</v>
      </c>
      <c r="U19" s="118">
        <v>0.29</v>
      </c>
      <c r="V19" s="118">
        <v>0.23</v>
      </c>
      <c r="W19" s="118">
        <v>0.2</v>
      </c>
      <c r="X19" s="118">
        <v>0.24</v>
      </c>
      <c r="Y19" s="118">
        <v>0.56</v>
      </c>
      <c r="Z19" s="118">
        <v>0.67</v>
      </c>
      <c r="AA19" s="118">
        <v>0.16</v>
      </c>
      <c r="AB19" s="118">
        <v>0.1</v>
      </c>
      <c r="AC19" s="118">
        <v>0.04</v>
      </c>
      <c r="AD19" s="118">
        <v>0.02</v>
      </c>
      <c r="AF19" s="122">
        <f>IFERROR(__xludf.DUMMYFUNCTION("""COMPUTED_VALUE"""),46069.0)</f>
        <v>46069</v>
      </c>
      <c r="AG19" s="124">
        <f>IFERROR(__xludf.DUMMYFUNCTION("""COMPUTED_VALUE"""),0.08)</f>
        <v>0.08</v>
      </c>
    </row>
    <row r="20">
      <c r="A20" s="117">
        <v>46038.0</v>
      </c>
      <c r="B20" s="116" t="s">
        <v>777</v>
      </c>
      <c r="C20" s="125">
        <v>4.0</v>
      </c>
      <c r="D20" s="116">
        <v>1.0</v>
      </c>
      <c r="E20" s="116">
        <v>16.0</v>
      </c>
      <c r="F20" s="118">
        <v>0.19</v>
      </c>
      <c r="G20" s="118">
        <v>0.5</v>
      </c>
      <c r="H20" s="118">
        <v>0.13</v>
      </c>
      <c r="I20" s="118">
        <v>0.31</v>
      </c>
      <c r="J20" s="116">
        <v>0.0</v>
      </c>
      <c r="K20" s="116">
        <v>193.0</v>
      </c>
      <c r="L20" s="118">
        <v>0.77</v>
      </c>
      <c r="M20" s="118">
        <v>0.23</v>
      </c>
      <c r="N20" s="116">
        <v>5.0</v>
      </c>
      <c r="O20" s="116">
        <v>17.0</v>
      </c>
      <c r="P20" s="116">
        <v>18.0</v>
      </c>
      <c r="Q20" s="116">
        <v>19.0</v>
      </c>
      <c r="R20" s="116">
        <v>2.6</v>
      </c>
      <c r="S20" s="116">
        <v>15.0</v>
      </c>
      <c r="T20" s="118">
        <v>0.52</v>
      </c>
      <c r="U20" s="118">
        <v>0.37</v>
      </c>
      <c r="V20" s="118">
        <v>0.11</v>
      </c>
      <c r="W20" s="118">
        <v>0.35</v>
      </c>
      <c r="X20" s="118">
        <v>0.42</v>
      </c>
      <c r="Y20" s="118">
        <v>0.23</v>
      </c>
      <c r="Z20" s="118">
        <v>0.5</v>
      </c>
      <c r="AA20" s="118">
        <v>0.2</v>
      </c>
      <c r="AB20" s="118">
        <v>0.18</v>
      </c>
      <c r="AC20" s="118">
        <v>0.07</v>
      </c>
      <c r="AD20" s="118">
        <v>0.05</v>
      </c>
      <c r="AE20" s="2"/>
      <c r="AF20" s="122">
        <f>IFERROR(__xludf.DUMMYFUNCTION("""COMPUTED_VALUE"""),46074.0)</f>
        <v>46074</v>
      </c>
      <c r="AG20" s="124">
        <f>IFERROR(__xludf.DUMMYFUNCTION("""COMPUTED_VALUE"""),0.09)</f>
        <v>0.09</v>
      </c>
    </row>
    <row r="21">
      <c r="A21" s="117">
        <v>46038.0</v>
      </c>
      <c r="B21" s="116" t="s">
        <v>783</v>
      </c>
      <c r="C21" s="125">
        <v>2.0</v>
      </c>
      <c r="D21" s="116">
        <v>0.0</v>
      </c>
      <c r="E21" s="116">
        <v>40.0</v>
      </c>
      <c r="F21" s="118">
        <v>0.43</v>
      </c>
      <c r="G21" s="118">
        <v>0.45</v>
      </c>
      <c r="H21" s="118">
        <v>0.43</v>
      </c>
      <c r="I21" s="118">
        <v>0.13</v>
      </c>
      <c r="J21" s="116">
        <v>0.0</v>
      </c>
      <c r="K21" s="116">
        <v>465.0</v>
      </c>
      <c r="L21" s="118">
        <v>0.92</v>
      </c>
      <c r="M21" s="118">
        <v>0.08</v>
      </c>
      <c r="N21" s="116">
        <v>5.0</v>
      </c>
      <c r="O21" s="116">
        <v>2.0</v>
      </c>
      <c r="P21" s="116">
        <v>7.0</v>
      </c>
      <c r="Q21" s="116">
        <v>13.0</v>
      </c>
      <c r="R21" s="116">
        <v>5.4</v>
      </c>
      <c r="S21" s="116">
        <v>29.0</v>
      </c>
      <c r="T21" s="118">
        <v>0.22</v>
      </c>
      <c r="U21" s="118">
        <v>0.63</v>
      </c>
      <c r="V21" s="118">
        <v>0.15</v>
      </c>
      <c r="W21" s="118">
        <v>0.09</v>
      </c>
      <c r="X21" s="118">
        <v>0.29</v>
      </c>
      <c r="Y21" s="118">
        <v>0.62</v>
      </c>
      <c r="Z21" s="118">
        <v>0.32</v>
      </c>
      <c r="AA21" s="118">
        <v>0.41</v>
      </c>
      <c r="AB21" s="118">
        <v>0.13</v>
      </c>
      <c r="AC21" s="118">
        <v>0.07</v>
      </c>
      <c r="AD21" s="118">
        <v>0.04</v>
      </c>
      <c r="AE21" s="2"/>
      <c r="AF21" s="122">
        <f>IFERROR(__xludf.DUMMYFUNCTION("""COMPUTED_VALUE"""),46075.0)</f>
        <v>46075</v>
      </c>
      <c r="AG21" s="124">
        <f>IFERROR(__xludf.DUMMYFUNCTION("""COMPUTED_VALUE"""),0.13)</f>
        <v>0.13</v>
      </c>
    </row>
    <row r="22">
      <c r="A22" s="117">
        <v>46046.0</v>
      </c>
      <c r="B22" s="116" t="s">
        <v>777</v>
      </c>
      <c r="C22" s="125">
        <v>5.0</v>
      </c>
      <c r="D22" s="116">
        <v>0.0</v>
      </c>
      <c r="E22" s="116">
        <v>33.0</v>
      </c>
      <c r="F22" s="118">
        <v>0.58</v>
      </c>
      <c r="G22" s="118">
        <v>0.24</v>
      </c>
      <c r="H22" s="118">
        <v>0.42</v>
      </c>
      <c r="I22" s="118">
        <v>0.18</v>
      </c>
      <c r="J22" s="116">
        <v>2.0</v>
      </c>
      <c r="K22" s="116">
        <v>264.0</v>
      </c>
      <c r="L22" s="118">
        <v>0.8</v>
      </c>
      <c r="M22" s="118">
        <v>0.2</v>
      </c>
      <c r="N22" s="116">
        <v>6.0</v>
      </c>
      <c r="O22" s="116">
        <v>15.0</v>
      </c>
      <c r="P22" s="116">
        <v>7.0</v>
      </c>
      <c r="Q22" s="116">
        <v>13.0</v>
      </c>
      <c r="R22" s="116">
        <v>2.6</v>
      </c>
      <c r="S22" s="116">
        <v>35.0</v>
      </c>
      <c r="T22" s="118">
        <v>0.33</v>
      </c>
      <c r="U22" s="118">
        <v>0.37</v>
      </c>
      <c r="V22" s="118">
        <v>0.3</v>
      </c>
      <c r="W22" s="118">
        <v>0.16</v>
      </c>
      <c r="X22" s="118">
        <v>0.24</v>
      </c>
      <c r="Y22" s="118">
        <v>0.6</v>
      </c>
      <c r="Z22" s="118">
        <v>0.39</v>
      </c>
      <c r="AA22" s="118">
        <v>0.31</v>
      </c>
      <c r="AB22" s="118">
        <v>0.11</v>
      </c>
      <c r="AC22" s="118">
        <v>0.18</v>
      </c>
      <c r="AD22" s="118">
        <v>0.01</v>
      </c>
      <c r="AE22" s="2"/>
      <c r="AF22" s="122">
        <f>IFERROR(__xludf.DUMMYFUNCTION("""COMPUTED_VALUE"""),46080.0)</f>
        <v>46080</v>
      </c>
      <c r="AG22" s="124">
        <f>IFERROR(__xludf.DUMMYFUNCTION("""COMPUTED_VALUE"""),0.08)</f>
        <v>0.08</v>
      </c>
    </row>
    <row r="23">
      <c r="A23" s="117">
        <v>46046.0</v>
      </c>
      <c r="B23" s="116" t="s">
        <v>780</v>
      </c>
      <c r="C23" s="125">
        <v>3.0</v>
      </c>
      <c r="D23" s="116">
        <v>1.0</v>
      </c>
      <c r="E23" s="116">
        <v>39.0</v>
      </c>
      <c r="F23" s="118">
        <v>0.46</v>
      </c>
      <c r="G23" s="118">
        <v>0.38</v>
      </c>
      <c r="H23" s="118">
        <v>0.38</v>
      </c>
      <c r="I23" s="118">
        <v>0.15</v>
      </c>
      <c r="J23" s="116">
        <v>3.0</v>
      </c>
      <c r="K23" s="116">
        <v>363.0</v>
      </c>
      <c r="L23" s="118">
        <v>0.81</v>
      </c>
      <c r="M23" s="118">
        <v>0.19</v>
      </c>
      <c r="N23" s="116">
        <v>6.0</v>
      </c>
      <c r="O23" s="116">
        <v>14.0</v>
      </c>
      <c r="P23" s="116">
        <v>13.0</v>
      </c>
      <c r="Q23" s="116">
        <v>12.0</v>
      </c>
      <c r="R23" s="116">
        <v>3.5</v>
      </c>
      <c r="S23" s="116">
        <v>19.0</v>
      </c>
      <c r="T23" s="118">
        <v>0.47</v>
      </c>
      <c r="U23" s="118">
        <v>0.27</v>
      </c>
      <c r="V23" s="118">
        <v>0.26</v>
      </c>
      <c r="W23" s="118">
        <v>0.28</v>
      </c>
      <c r="X23" s="118">
        <v>0.22</v>
      </c>
      <c r="Y23" s="118">
        <v>0.5</v>
      </c>
      <c r="Z23" s="118">
        <v>0.44</v>
      </c>
      <c r="AA23" s="118">
        <v>0.34</v>
      </c>
      <c r="AB23" s="118">
        <v>0.11</v>
      </c>
      <c r="AC23" s="118">
        <v>0.07</v>
      </c>
      <c r="AD23" s="118">
        <v>0.03</v>
      </c>
      <c r="AE23" s="2"/>
      <c r="AF23" s="122">
        <f>IFERROR(__xludf.DUMMYFUNCTION("""COMPUTED_VALUE"""),46082.0)</f>
        <v>46082</v>
      </c>
      <c r="AG23" s="124">
        <f>IFERROR(__xludf.DUMMYFUNCTION("""COMPUTED_VALUE"""),0.12)</f>
        <v>0.12</v>
      </c>
    </row>
    <row r="24">
      <c r="A24" s="117">
        <v>46047.0</v>
      </c>
      <c r="B24" s="116" t="s">
        <v>777</v>
      </c>
      <c r="C24" s="125">
        <v>6.0</v>
      </c>
      <c r="D24" s="116">
        <v>2.0</v>
      </c>
      <c r="E24" s="116">
        <v>33.0</v>
      </c>
      <c r="F24" s="118">
        <v>0.52</v>
      </c>
      <c r="G24" s="118">
        <v>0.36</v>
      </c>
      <c r="H24" s="118">
        <v>0.32</v>
      </c>
      <c r="I24" s="118">
        <v>0.12</v>
      </c>
      <c r="J24" s="116">
        <v>3.0</v>
      </c>
      <c r="K24" s="116">
        <v>286.0</v>
      </c>
      <c r="L24" s="118">
        <v>0.68</v>
      </c>
      <c r="M24" s="118">
        <v>0.32</v>
      </c>
      <c r="N24" s="116">
        <v>4.0</v>
      </c>
      <c r="O24" s="116">
        <v>13.0</v>
      </c>
      <c r="P24" s="116">
        <v>4.0</v>
      </c>
      <c r="Q24" s="116">
        <v>13.0</v>
      </c>
      <c r="R24" s="116">
        <v>2.1</v>
      </c>
      <c r="S24" s="116">
        <v>29.0</v>
      </c>
      <c r="T24" s="118">
        <v>0.41</v>
      </c>
      <c r="U24" s="118">
        <v>0.32</v>
      </c>
      <c r="V24" s="118">
        <v>0.27</v>
      </c>
      <c r="W24" s="118">
        <v>0.25</v>
      </c>
      <c r="X24" s="118">
        <v>0.35</v>
      </c>
      <c r="Y24" s="118">
        <v>0.4</v>
      </c>
      <c r="Z24" s="118">
        <v>0.56</v>
      </c>
      <c r="AA24" s="118">
        <v>0.24</v>
      </c>
      <c r="AB24" s="118">
        <v>0.09</v>
      </c>
      <c r="AC24" s="118">
        <v>0.09</v>
      </c>
      <c r="AD24" s="118">
        <v>0.01</v>
      </c>
      <c r="AF24" s="126"/>
      <c r="AG24" s="127"/>
    </row>
    <row r="25">
      <c r="A25" s="117">
        <v>46047.0</v>
      </c>
      <c r="B25" s="116" t="s">
        <v>780</v>
      </c>
      <c r="C25" s="125">
        <v>7.0</v>
      </c>
      <c r="D25" s="116">
        <v>2.0</v>
      </c>
      <c r="E25" s="116">
        <v>48.0</v>
      </c>
      <c r="F25" s="118">
        <v>0.44</v>
      </c>
      <c r="G25" s="118">
        <v>0.44</v>
      </c>
      <c r="H25" s="118">
        <v>0.28</v>
      </c>
      <c r="I25" s="118">
        <v>0.11</v>
      </c>
      <c r="J25" s="116">
        <v>2.0</v>
      </c>
      <c r="K25" s="116">
        <v>476.0</v>
      </c>
      <c r="L25" s="118">
        <v>0.83</v>
      </c>
      <c r="M25" s="118">
        <v>0.17</v>
      </c>
      <c r="N25" s="116">
        <v>4.0</v>
      </c>
      <c r="O25" s="116">
        <v>10.0</v>
      </c>
      <c r="P25" s="116">
        <v>16.0</v>
      </c>
      <c r="Q25" s="116">
        <v>12.0</v>
      </c>
      <c r="R25" s="116">
        <v>3.7</v>
      </c>
      <c r="S25" s="116">
        <v>34.0</v>
      </c>
      <c r="T25" s="118">
        <v>0.38</v>
      </c>
      <c r="U25" s="118">
        <v>0.38</v>
      </c>
      <c r="V25" s="118">
        <v>0.24</v>
      </c>
      <c r="W25" s="118">
        <v>0.21</v>
      </c>
      <c r="X25" s="118">
        <v>0.25</v>
      </c>
      <c r="Y25" s="118">
        <v>0.54</v>
      </c>
      <c r="Z25" s="118">
        <v>0.47</v>
      </c>
      <c r="AA25" s="118">
        <v>0.32</v>
      </c>
      <c r="AB25" s="118">
        <v>0.08</v>
      </c>
      <c r="AC25" s="118">
        <v>0.06</v>
      </c>
      <c r="AD25" s="118">
        <v>0.03</v>
      </c>
      <c r="AF25" s="126"/>
      <c r="AG25" s="127"/>
    </row>
    <row r="26">
      <c r="A26" s="117">
        <v>46060.0</v>
      </c>
      <c r="B26" s="116" t="s">
        <v>777</v>
      </c>
      <c r="C26" s="125">
        <v>8.0</v>
      </c>
      <c r="D26" s="116">
        <v>4.0</v>
      </c>
      <c r="E26" s="116">
        <v>30.0</v>
      </c>
      <c r="F26" s="118">
        <v>0.5</v>
      </c>
      <c r="G26" s="118">
        <v>0.43</v>
      </c>
      <c r="H26" s="118">
        <v>0.27</v>
      </c>
      <c r="I26" s="118">
        <v>0.07</v>
      </c>
      <c r="J26" s="116">
        <v>0.0</v>
      </c>
      <c r="K26" s="116">
        <v>372.0</v>
      </c>
      <c r="L26" s="118">
        <v>0.8</v>
      </c>
      <c r="M26" s="118">
        <v>0.2</v>
      </c>
      <c r="N26" s="116">
        <v>1.0</v>
      </c>
      <c r="O26" s="116">
        <v>8.0</v>
      </c>
      <c r="P26" s="116">
        <v>16.0</v>
      </c>
      <c r="Q26" s="116">
        <v>13.0</v>
      </c>
      <c r="R26" s="116">
        <v>2.4</v>
      </c>
      <c r="S26" s="116">
        <v>35.0</v>
      </c>
      <c r="T26" s="118">
        <v>0.38</v>
      </c>
      <c r="U26" s="118">
        <v>0.42</v>
      </c>
      <c r="V26" s="118">
        <v>0.2</v>
      </c>
      <c r="W26" s="118">
        <v>0.2</v>
      </c>
      <c r="X26" s="118">
        <v>0.42</v>
      </c>
      <c r="Y26" s="118">
        <v>0.38</v>
      </c>
      <c r="Z26" s="118">
        <v>0.66</v>
      </c>
      <c r="AA26" s="118">
        <v>0.21</v>
      </c>
      <c r="AB26" s="118">
        <v>0.07</v>
      </c>
      <c r="AC26" s="118">
        <v>0.03</v>
      </c>
      <c r="AD26" s="118">
        <v>0.02</v>
      </c>
      <c r="AF26" s="126"/>
      <c r="AG26" s="127"/>
    </row>
    <row r="27">
      <c r="A27" s="117">
        <v>46060.0</v>
      </c>
      <c r="B27" s="116" t="s">
        <v>782</v>
      </c>
      <c r="C27" s="125">
        <v>5.0</v>
      </c>
      <c r="D27" s="116">
        <v>1.0</v>
      </c>
      <c r="E27" s="116">
        <v>23.0</v>
      </c>
      <c r="F27" s="118">
        <v>0.57</v>
      </c>
      <c r="G27" s="118">
        <v>0.39</v>
      </c>
      <c r="H27" s="118">
        <v>0.35</v>
      </c>
      <c r="I27" s="118">
        <v>0.04</v>
      </c>
      <c r="J27" s="116">
        <v>2.0</v>
      </c>
      <c r="K27" s="116">
        <v>486.0</v>
      </c>
      <c r="L27" s="118">
        <v>0.86</v>
      </c>
      <c r="M27" s="118">
        <v>0.14</v>
      </c>
      <c r="N27" s="116">
        <v>2.0</v>
      </c>
      <c r="O27" s="116">
        <v>10.0</v>
      </c>
      <c r="P27" s="116">
        <v>15.0</v>
      </c>
      <c r="Q27" s="116">
        <v>22.0</v>
      </c>
      <c r="R27" s="116">
        <v>3.4</v>
      </c>
      <c r="S27" s="116">
        <v>23.0</v>
      </c>
      <c r="T27" s="118">
        <v>0.41</v>
      </c>
      <c r="U27" s="118">
        <v>0.41</v>
      </c>
      <c r="V27" s="118">
        <v>0.18</v>
      </c>
      <c r="W27" s="118">
        <v>0.27</v>
      </c>
      <c r="X27" s="118">
        <v>0.34</v>
      </c>
      <c r="Y27" s="118">
        <v>0.39</v>
      </c>
      <c r="Z27" s="118">
        <v>0.64</v>
      </c>
      <c r="AA27" s="118">
        <v>0.16</v>
      </c>
      <c r="AB27" s="118">
        <v>0.15</v>
      </c>
      <c r="AC27" s="118">
        <v>0.04</v>
      </c>
      <c r="AD27" s="118">
        <v>0.01</v>
      </c>
      <c r="AF27" s="126"/>
      <c r="AG27" s="127"/>
    </row>
    <row r="28">
      <c r="A28" s="117">
        <v>46067.0</v>
      </c>
      <c r="B28" s="116" t="s">
        <v>777</v>
      </c>
      <c r="C28" s="125">
        <v>7.0</v>
      </c>
      <c r="D28" s="116">
        <v>3.0</v>
      </c>
      <c r="E28" s="116">
        <v>32.0</v>
      </c>
      <c r="F28" s="118">
        <v>0.69</v>
      </c>
      <c r="G28" s="118">
        <v>0.25</v>
      </c>
      <c r="H28" s="118">
        <v>0.5</v>
      </c>
      <c r="I28" s="118">
        <v>0.06</v>
      </c>
      <c r="J28" s="116">
        <v>0.0</v>
      </c>
      <c r="K28" s="116">
        <v>349.0</v>
      </c>
      <c r="L28" s="118">
        <v>0.71</v>
      </c>
      <c r="M28" s="118">
        <v>0.29</v>
      </c>
      <c r="N28" s="116">
        <v>5.0</v>
      </c>
      <c r="O28" s="116">
        <v>14.0</v>
      </c>
      <c r="P28" s="116">
        <v>23.0</v>
      </c>
      <c r="Q28" s="116">
        <v>24.0</v>
      </c>
      <c r="R28" s="116">
        <v>3.0</v>
      </c>
      <c r="S28" s="116">
        <v>33.0</v>
      </c>
      <c r="T28" s="118">
        <v>0.5</v>
      </c>
      <c r="U28" s="118">
        <v>0.28</v>
      </c>
      <c r="V28" s="118">
        <v>0.22</v>
      </c>
      <c r="W28" s="118">
        <v>0.24</v>
      </c>
      <c r="X28" s="118">
        <v>0.24</v>
      </c>
      <c r="Y28" s="118">
        <v>0.52</v>
      </c>
      <c r="Z28" s="118">
        <v>0.5</v>
      </c>
      <c r="AA28" s="118">
        <v>0.27</v>
      </c>
      <c r="AB28" s="118">
        <v>0.17</v>
      </c>
      <c r="AC28" s="118">
        <v>0.03</v>
      </c>
      <c r="AD28" s="118">
        <v>0.02</v>
      </c>
      <c r="AF28" s="126"/>
      <c r="AG28" s="127"/>
    </row>
    <row r="29">
      <c r="A29" s="117">
        <v>46067.0</v>
      </c>
      <c r="B29" s="116" t="s">
        <v>784</v>
      </c>
      <c r="C29" s="125">
        <v>3.0</v>
      </c>
      <c r="D29" s="116">
        <v>2.0</v>
      </c>
      <c r="E29" s="116">
        <v>44.0</v>
      </c>
      <c r="F29" s="118">
        <v>0.39</v>
      </c>
      <c r="G29" s="118">
        <v>0.5</v>
      </c>
      <c r="H29" s="118">
        <v>0.32</v>
      </c>
      <c r="I29" s="118">
        <v>0.11</v>
      </c>
      <c r="J29" s="116">
        <v>0.0</v>
      </c>
      <c r="K29" s="116">
        <v>595.0</v>
      </c>
      <c r="L29" s="118">
        <v>0.81</v>
      </c>
      <c r="M29" s="118">
        <v>0.19</v>
      </c>
      <c r="N29" s="116">
        <v>2.0</v>
      </c>
      <c r="O29" s="116">
        <v>18.0</v>
      </c>
      <c r="P29" s="116">
        <v>15.0</v>
      </c>
      <c r="Q29" s="116">
        <v>23.0</v>
      </c>
      <c r="R29" s="116">
        <v>4.3</v>
      </c>
      <c r="S29" s="116">
        <v>40.0</v>
      </c>
      <c r="T29" s="118">
        <v>0.47</v>
      </c>
      <c r="U29" s="118">
        <v>0.3</v>
      </c>
      <c r="V29" s="118">
        <v>0.23</v>
      </c>
      <c r="W29" s="118">
        <v>0.2</v>
      </c>
      <c r="X29" s="118">
        <v>0.24</v>
      </c>
      <c r="Y29" s="118">
        <v>0.56</v>
      </c>
      <c r="Z29" s="118">
        <v>0.44</v>
      </c>
      <c r="AA29" s="118">
        <v>0.31</v>
      </c>
      <c r="AB29" s="118">
        <v>0.15</v>
      </c>
      <c r="AC29" s="118">
        <v>0.06</v>
      </c>
      <c r="AD29" s="118">
        <v>0.03</v>
      </c>
      <c r="AF29" s="126"/>
      <c r="AG29" s="127"/>
    </row>
    <row r="30">
      <c r="A30" s="117">
        <v>46069.0</v>
      </c>
      <c r="B30" s="116" t="s">
        <v>777</v>
      </c>
      <c r="C30" s="125">
        <v>6.0</v>
      </c>
      <c r="D30" s="116">
        <v>1.0</v>
      </c>
      <c r="E30" s="116">
        <v>57.0</v>
      </c>
      <c r="F30" s="118">
        <v>0.42</v>
      </c>
      <c r="G30" s="118">
        <v>0.37</v>
      </c>
      <c r="H30" s="118">
        <v>0.33</v>
      </c>
      <c r="I30" s="118">
        <v>0.21</v>
      </c>
      <c r="J30" s="116">
        <v>3.0</v>
      </c>
      <c r="K30" s="116">
        <v>365.0</v>
      </c>
      <c r="L30" s="118">
        <v>0.75</v>
      </c>
      <c r="M30" s="118">
        <v>0.25</v>
      </c>
      <c r="N30" s="116">
        <v>4.0</v>
      </c>
      <c r="O30" s="116">
        <v>16.0</v>
      </c>
      <c r="P30" s="116">
        <v>16.0</v>
      </c>
      <c r="Q30" s="116">
        <v>13.0</v>
      </c>
      <c r="R30" s="116">
        <v>2.7</v>
      </c>
      <c r="S30" s="116">
        <v>47.0</v>
      </c>
      <c r="T30" s="118">
        <v>0.39</v>
      </c>
      <c r="U30" s="118">
        <v>0.34</v>
      </c>
      <c r="V30" s="118">
        <v>0.27</v>
      </c>
      <c r="W30" s="118">
        <v>0.17</v>
      </c>
      <c r="X30" s="118">
        <v>0.25</v>
      </c>
      <c r="Y30" s="118">
        <v>0.58</v>
      </c>
      <c r="Z30" s="118">
        <v>0.42</v>
      </c>
      <c r="AA30" s="118">
        <v>0.38</v>
      </c>
      <c r="AB30" s="118">
        <v>0.08</v>
      </c>
      <c r="AC30" s="118">
        <v>0.07</v>
      </c>
      <c r="AD30" s="118">
        <v>0.03</v>
      </c>
      <c r="AF30" s="128"/>
    </row>
    <row r="31">
      <c r="A31" s="117">
        <v>46069.0</v>
      </c>
      <c r="B31" s="116" t="s">
        <v>785</v>
      </c>
      <c r="C31" s="125">
        <v>4.0</v>
      </c>
      <c r="D31" s="116">
        <v>1.0</v>
      </c>
      <c r="E31" s="116">
        <v>47.0</v>
      </c>
      <c r="F31" s="118">
        <v>0.43</v>
      </c>
      <c r="G31" s="118">
        <v>0.49</v>
      </c>
      <c r="H31" s="118">
        <v>0.34</v>
      </c>
      <c r="I31" s="118">
        <v>0.09</v>
      </c>
      <c r="J31" s="116">
        <v>8.0</v>
      </c>
      <c r="K31" s="116">
        <v>483.0</v>
      </c>
      <c r="L31" s="118">
        <v>0.79</v>
      </c>
      <c r="M31" s="118">
        <v>0.21</v>
      </c>
      <c r="N31" s="116">
        <v>12.0</v>
      </c>
      <c r="O31" s="116">
        <v>20.0</v>
      </c>
      <c r="P31" s="116">
        <v>14.0</v>
      </c>
      <c r="Q31" s="116">
        <v>19.0</v>
      </c>
      <c r="R31" s="116">
        <v>3.6</v>
      </c>
      <c r="S31" s="116">
        <v>27.0</v>
      </c>
      <c r="T31" s="118">
        <v>0.42</v>
      </c>
      <c r="U31" s="118">
        <v>0.35</v>
      </c>
      <c r="V31" s="118">
        <v>0.23</v>
      </c>
      <c r="W31" s="118">
        <v>0.24</v>
      </c>
      <c r="X31" s="118">
        <v>0.25</v>
      </c>
      <c r="Y31" s="118">
        <v>0.51</v>
      </c>
      <c r="Z31" s="118">
        <v>0.45</v>
      </c>
      <c r="AA31" s="118">
        <v>0.33</v>
      </c>
      <c r="AB31" s="118">
        <v>0.12</v>
      </c>
      <c r="AC31" s="118">
        <v>0.04</v>
      </c>
      <c r="AD31" s="118">
        <v>0.06</v>
      </c>
      <c r="AF31" s="128"/>
    </row>
    <row r="32">
      <c r="A32" s="117">
        <v>46074.0</v>
      </c>
      <c r="B32" s="116" t="s">
        <v>777</v>
      </c>
      <c r="C32" s="125">
        <v>13.0</v>
      </c>
      <c r="D32" s="116">
        <v>4.0</v>
      </c>
      <c r="E32" s="116">
        <v>35.0</v>
      </c>
      <c r="F32" s="118">
        <v>0.69</v>
      </c>
      <c r="G32" s="118">
        <v>0.26</v>
      </c>
      <c r="H32" s="118">
        <v>0.31</v>
      </c>
      <c r="I32" s="118">
        <v>0.06</v>
      </c>
      <c r="J32" s="116">
        <v>1.0</v>
      </c>
      <c r="K32" s="116">
        <v>380.0</v>
      </c>
      <c r="L32" s="118">
        <v>0.81</v>
      </c>
      <c r="M32" s="118">
        <v>0.19</v>
      </c>
      <c r="N32" s="116">
        <v>4.0</v>
      </c>
      <c r="O32" s="116">
        <v>13.0</v>
      </c>
      <c r="P32" s="116">
        <v>23.0</v>
      </c>
      <c r="Q32" s="116">
        <v>12.0</v>
      </c>
      <c r="R32" s="116">
        <v>3.0</v>
      </c>
      <c r="S32" s="116">
        <v>31.0</v>
      </c>
      <c r="T32" s="118">
        <v>0.5</v>
      </c>
      <c r="U32" s="118">
        <v>0.3</v>
      </c>
      <c r="V32" s="118">
        <v>0.2</v>
      </c>
      <c r="W32" s="118">
        <v>0.25</v>
      </c>
      <c r="X32" s="118">
        <v>0.3</v>
      </c>
      <c r="Y32" s="118">
        <v>0.45</v>
      </c>
      <c r="Z32" s="118">
        <v>0.55</v>
      </c>
      <c r="AA32" s="118">
        <v>0.26</v>
      </c>
      <c r="AB32" s="118">
        <v>0.09</v>
      </c>
      <c r="AC32" s="118">
        <v>0.07</v>
      </c>
      <c r="AD32" s="118">
        <v>0.04</v>
      </c>
      <c r="AF32" s="128"/>
    </row>
    <row r="33">
      <c r="A33" s="117">
        <v>46074.0</v>
      </c>
      <c r="B33" s="116" t="s">
        <v>785</v>
      </c>
      <c r="C33" s="125">
        <v>0.0</v>
      </c>
      <c r="D33" s="116">
        <v>0.0</v>
      </c>
      <c r="E33" s="116">
        <v>27.0</v>
      </c>
      <c r="F33" s="118">
        <v>0.48</v>
      </c>
      <c r="G33" s="118">
        <v>0.37</v>
      </c>
      <c r="H33" s="118">
        <v>0.48</v>
      </c>
      <c r="I33" s="118">
        <v>0.15</v>
      </c>
      <c r="J33" s="116">
        <v>1.0</v>
      </c>
      <c r="K33" s="116">
        <v>449.0</v>
      </c>
      <c r="L33" s="118">
        <v>0.82</v>
      </c>
      <c r="M33" s="118">
        <v>0.18</v>
      </c>
      <c r="N33" s="116">
        <v>2.0</v>
      </c>
      <c r="O33" s="116">
        <v>11.0</v>
      </c>
      <c r="P33" s="116">
        <v>13.0</v>
      </c>
      <c r="Q33" s="116">
        <v>18.0</v>
      </c>
      <c r="R33" s="116">
        <v>3.4</v>
      </c>
      <c r="S33" s="116">
        <v>28.0</v>
      </c>
      <c r="T33" s="118">
        <v>0.34</v>
      </c>
      <c r="U33" s="118">
        <v>0.47</v>
      </c>
      <c r="V33" s="118">
        <v>0.19</v>
      </c>
      <c r="W33" s="118">
        <v>0.2</v>
      </c>
      <c r="X33" s="118">
        <v>0.33</v>
      </c>
      <c r="Y33" s="118">
        <v>0.47</v>
      </c>
      <c r="Z33" s="118">
        <v>0.62</v>
      </c>
      <c r="AA33" s="118">
        <v>0.2</v>
      </c>
      <c r="AB33" s="118">
        <v>0.12</v>
      </c>
      <c r="AC33" s="118">
        <v>0.06</v>
      </c>
      <c r="AD33" s="118">
        <v>0.0</v>
      </c>
      <c r="AF33" s="128"/>
    </row>
    <row r="34">
      <c r="A34" s="117">
        <v>46075.0</v>
      </c>
      <c r="B34" s="116" t="s">
        <v>777</v>
      </c>
      <c r="C34" s="125">
        <v>7.0</v>
      </c>
      <c r="D34" s="116">
        <v>2.0</v>
      </c>
      <c r="E34" s="116">
        <v>41.0</v>
      </c>
      <c r="F34" s="118">
        <v>0.32</v>
      </c>
      <c r="G34" s="118">
        <v>0.5</v>
      </c>
      <c r="H34" s="118">
        <v>0.18</v>
      </c>
      <c r="I34" s="118">
        <v>0.18</v>
      </c>
      <c r="J34" s="116">
        <v>8.0</v>
      </c>
      <c r="K34" s="116">
        <v>292.0</v>
      </c>
      <c r="L34" s="118">
        <v>0.8</v>
      </c>
      <c r="M34" s="118">
        <v>0.2</v>
      </c>
      <c r="N34" s="116">
        <v>11.0</v>
      </c>
      <c r="O34" s="116">
        <v>8.0</v>
      </c>
      <c r="P34" s="116">
        <v>12.0</v>
      </c>
      <c r="Q34" s="116">
        <v>18.0</v>
      </c>
      <c r="R34" s="116">
        <v>2.3</v>
      </c>
      <c r="S34" s="116">
        <v>42.0</v>
      </c>
      <c r="T34" s="118">
        <v>0.38</v>
      </c>
      <c r="U34" s="118">
        <v>0.33</v>
      </c>
      <c r="V34" s="118">
        <v>0.29</v>
      </c>
      <c r="W34" s="118">
        <v>0.24</v>
      </c>
      <c r="X34" s="118">
        <v>0.26</v>
      </c>
      <c r="Y34" s="118">
        <v>0.5</v>
      </c>
      <c r="Z34" s="118">
        <v>0.46</v>
      </c>
      <c r="AA34" s="118">
        <v>0.31</v>
      </c>
      <c r="AB34" s="118">
        <v>0.13</v>
      </c>
      <c r="AC34" s="118">
        <v>0.06</v>
      </c>
      <c r="AD34" s="118">
        <v>0.05</v>
      </c>
      <c r="AF34" s="128"/>
    </row>
    <row r="35">
      <c r="A35" s="117">
        <v>46075.0</v>
      </c>
      <c r="B35" s="116" t="s">
        <v>780</v>
      </c>
      <c r="C35" s="125">
        <v>6.0</v>
      </c>
      <c r="D35" s="116">
        <v>3.0</v>
      </c>
      <c r="E35" s="116">
        <v>46.0</v>
      </c>
      <c r="F35" s="118">
        <v>0.27</v>
      </c>
      <c r="G35" s="118">
        <v>0.52</v>
      </c>
      <c r="H35" s="118">
        <v>0.14</v>
      </c>
      <c r="I35" s="118">
        <v>0.2</v>
      </c>
      <c r="J35" s="116">
        <v>16.0</v>
      </c>
      <c r="K35" s="116">
        <v>435.0</v>
      </c>
      <c r="L35" s="118">
        <v>0.9</v>
      </c>
      <c r="M35" s="118">
        <v>0.1</v>
      </c>
      <c r="N35" s="116">
        <v>8.0</v>
      </c>
      <c r="O35" s="116">
        <v>9.0</v>
      </c>
      <c r="P35" s="116">
        <v>18.0</v>
      </c>
      <c r="Q35" s="116">
        <v>19.0</v>
      </c>
      <c r="R35" s="116">
        <v>3.7</v>
      </c>
      <c r="S35" s="116">
        <v>35.0</v>
      </c>
      <c r="T35" s="118">
        <v>0.42</v>
      </c>
      <c r="U35" s="118">
        <v>0.28</v>
      </c>
      <c r="V35" s="118">
        <v>0.3</v>
      </c>
      <c r="W35" s="118">
        <v>0.25</v>
      </c>
      <c r="X35" s="118">
        <v>0.2</v>
      </c>
      <c r="Y35" s="118">
        <v>0.55</v>
      </c>
      <c r="Z35" s="118">
        <v>0.43</v>
      </c>
      <c r="AA35" s="118">
        <v>0.33</v>
      </c>
      <c r="AB35" s="118">
        <v>0.13</v>
      </c>
      <c r="AC35" s="118">
        <v>0.07</v>
      </c>
      <c r="AD35" s="118">
        <v>0.01</v>
      </c>
      <c r="AF35" s="128"/>
    </row>
    <row r="36">
      <c r="A36" s="117">
        <v>46080.0</v>
      </c>
      <c r="B36" s="116" t="s">
        <v>777</v>
      </c>
      <c r="C36" s="125">
        <v>4.0</v>
      </c>
      <c r="D36" s="116">
        <v>2.0</v>
      </c>
      <c r="E36" s="116">
        <v>33.0</v>
      </c>
      <c r="F36" s="118">
        <v>0.55</v>
      </c>
      <c r="G36" s="118">
        <v>0.21</v>
      </c>
      <c r="H36" s="118">
        <v>0.42</v>
      </c>
      <c r="I36" s="118">
        <v>0.24</v>
      </c>
      <c r="J36" s="116">
        <v>0.0</v>
      </c>
      <c r="K36" s="116">
        <v>435.0</v>
      </c>
      <c r="L36" s="118">
        <v>0.79</v>
      </c>
      <c r="M36" s="118">
        <v>0.21</v>
      </c>
      <c r="N36" s="116">
        <v>11.0</v>
      </c>
      <c r="O36" s="116">
        <v>10.0</v>
      </c>
      <c r="P36" s="116">
        <v>11.0</v>
      </c>
      <c r="Q36" s="116">
        <v>13.0</v>
      </c>
      <c r="R36" s="116">
        <v>3.0</v>
      </c>
      <c r="S36" s="116">
        <v>24.0</v>
      </c>
      <c r="T36" s="118">
        <v>0.33</v>
      </c>
      <c r="U36" s="118">
        <v>0.48</v>
      </c>
      <c r="V36" s="118">
        <v>0.19</v>
      </c>
      <c r="W36" s="118">
        <v>0.23</v>
      </c>
      <c r="X36" s="118">
        <v>0.36</v>
      </c>
      <c r="Y36" s="118">
        <v>0.41</v>
      </c>
      <c r="Z36" s="118">
        <v>0.6</v>
      </c>
      <c r="AA36" s="118">
        <v>0.22</v>
      </c>
      <c r="AB36" s="118">
        <v>0.08</v>
      </c>
      <c r="AC36" s="118">
        <v>0.08</v>
      </c>
      <c r="AD36" s="118">
        <v>0.01</v>
      </c>
      <c r="AF36" s="128"/>
    </row>
    <row r="37">
      <c r="A37" s="117">
        <v>46080.0</v>
      </c>
      <c r="B37" s="116" t="s">
        <v>784</v>
      </c>
      <c r="C37" s="125">
        <v>5.0</v>
      </c>
      <c r="D37" s="116">
        <v>5.0</v>
      </c>
      <c r="E37" s="116">
        <v>35.0</v>
      </c>
      <c r="F37" s="118">
        <v>0.43</v>
      </c>
      <c r="G37" s="118">
        <v>0.26</v>
      </c>
      <c r="H37" s="118">
        <v>0.29</v>
      </c>
      <c r="I37" s="118">
        <v>0.31</v>
      </c>
      <c r="J37" s="116">
        <v>0.0</v>
      </c>
      <c r="K37" s="116">
        <v>521.0</v>
      </c>
      <c r="L37" s="118">
        <v>0.83</v>
      </c>
      <c r="M37" s="118">
        <v>0.17</v>
      </c>
      <c r="N37" s="116">
        <v>8.0</v>
      </c>
      <c r="O37" s="116">
        <v>14.0</v>
      </c>
      <c r="P37" s="116">
        <v>11.0</v>
      </c>
      <c r="Q37" s="116">
        <v>11.0</v>
      </c>
      <c r="R37" s="116">
        <v>3.6</v>
      </c>
      <c r="S37" s="116">
        <v>24.0</v>
      </c>
      <c r="T37" s="118">
        <v>0.42</v>
      </c>
      <c r="U37" s="118">
        <v>0.39</v>
      </c>
      <c r="V37" s="118">
        <v>0.19</v>
      </c>
      <c r="W37" s="118">
        <v>0.24</v>
      </c>
      <c r="X37" s="118">
        <v>0.37</v>
      </c>
      <c r="Y37" s="118">
        <v>0.39</v>
      </c>
      <c r="Z37" s="118">
        <v>0.62</v>
      </c>
      <c r="AA37" s="118">
        <v>0.23</v>
      </c>
      <c r="AB37" s="118">
        <v>0.07</v>
      </c>
      <c r="AC37" s="118">
        <v>0.06</v>
      </c>
      <c r="AD37" s="118">
        <v>0.01</v>
      </c>
      <c r="AF37" s="128"/>
    </row>
    <row r="38">
      <c r="A38" s="117">
        <v>46082.0</v>
      </c>
      <c r="B38" s="116" t="s">
        <v>777</v>
      </c>
      <c r="C38" s="125">
        <v>4.0</v>
      </c>
      <c r="D38" s="116">
        <v>2.0</v>
      </c>
      <c r="E38" s="116">
        <v>45.0</v>
      </c>
      <c r="F38" s="118">
        <v>0.47</v>
      </c>
      <c r="G38" s="118">
        <v>0.36</v>
      </c>
      <c r="H38" s="118">
        <v>0.38</v>
      </c>
      <c r="I38" s="118">
        <v>0.18</v>
      </c>
      <c r="J38" s="116">
        <v>18.0</v>
      </c>
      <c r="K38" s="116">
        <v>461.0</v>
      </c>
      <c r="L38" s="118">
        <v>0.86</v>
      </c>
      <c r="M38" s="118">
        <v>0.14</v>
      </c>
      <c r="N38" s="116">
        <v>4.0</v>
      </c>
      <c r="O38" s="116">
        <v>11.0</v>
      </c>
      <c r="P38" s="116">
        <v>8.0</v>
      </c>
      <c r="Q38" s="116">
        <v>15.0</v>
      </c>
      <c r="R38" s="116">
        <v>4.3</v>
      </c>
      <c r="S38" s="116">
        <v>31.0</v>
      </c>
      <c r="T38" s="118">
        <v>0.33</v>
      </c>
      <c r="U38" s="118">
        <v>0.44</v>
      </c>
      <c r="V38" s="118">
        <v>0.23</v>
      </c>
      <c r="W38" s="118">
        <v>0.12</v>
      </c>
      <c r="X38" s="118">
        <v>0.31</v>
      </c>
      <c r="Y38" s="118">
        <v>0.57</v>
      </c>
      <c r="Z38" s="118">
        <v>0.43</v>
      </c>
      <c r="AA38" s="118">
        <v>0.38</v>
      </c>
      <c r="AB38" s="118">
        <v>0.12</v>
      </c>
      <c r="AC38" s="118">
        <v>0.06</v>
      </c>
      <c r="AD38" s="118">
        <v>0.02</v>
      </c>
      <c r="AF38" s="128"/>
    </row>
    <row r="39">
      <c r="A39" s="117">
        <v>46082.0</v>
      </c>
      <c r="B39" s="116" t="s">
        <v>784</v>
      </c>
      <c r="C39" s="125">
        <v>5.0</v>
      </c>
      <c r="D39" s="116">
        <v>1.0</v>
      </c>
      <c r="E39" s="116">
        <v>28.0</v>
      </c>
      <c r="F39" s="118">
        <v>0.57</v>
      </c>
      <c r="G39" s="118">
        <v>0.29</v>
      </c>
      <c r="H39" s="118">
        <v>0.39</v>
      </c>
      <c r="I39" s="118">
        <v>0.14</v>
      </c>
      <c r="J39" s="116">
        <v>8.0</v>
      </c>
      <c r="K39" s="116">
        <v>392.0</v>
      </c>
      <c r="L39" s="118">
        <v>0.79</v>
      </c>
      <c r="M39" s="118">
        <v>0.21</v>
      </c>
      <c r="N39" s="116">
        <v>8.0</v>
      </c>
      <c r="O39" s="116">
        <v>17.0</v>
      </c>
      <c r="P39" s="116">
        <v>14.0</v>
      </c>
      <c r="Q39" s="116">
        <v>9.0</v>
      </c>
      <c r="R39" s="116">
        <v>3.6</v>
      </c>
      <c r="S39" s="116">
        <v>25.0</v>
      </c>
      <c r="T39" s="118">
        <v>0.47</v>
      </c>
      <c r="U39" s="118">
        <v>0.34</v>
      </c>
      <c r="V39" s="118">
        <v>0.19</v>
      </c>
      <c r="W39" s="118">
        <v>0.31</v>
      </c>
      <c r="X39" s="118">
        <v>0.33</v>
      </c>
      <c r="Y39" s="118">
        <v>0.36</v>
      </c>
      <c r="Z39" s="118">
        <v>0.57</v>
      </c>
      <c r="AA39" s="118">
        <v>0.23</v>
      </c>
      <c r="AB39" s="118">
        <v>0.07</v>
      </c>
      <c r="AC39" s="118">
        <v>0.07</v>
      </c>
      <c r="AD39" s="118">
        <v>0.02</v>
      </c>
      <c r="AF39" s="128"/>
    </row>
    <row r="40">
      <c r="A40" s="129" t="s">
        <v>786</v>
      </c>
      <c r="AF40" s="128"/>
    </row>
    <row r="41">
      <c r="A41" s="130" t="s">
        <v>787</v>
      </c>
      <c r="AF41" s="131"/>
    </row>
    <row r="43">
      <c r="A43" s="43" t="s">
        <v>788</v>
      </c>
    </row>
    <row r="44">
      <c r="A44" s="43" t="s">
        <v>774</v>
      </c>
    </row>
    <row r="45">
      <c r="S45" s="132"/>
    </row>
    <row r="46">
      <c r="C46" s="128"/>
      <c r="S46" s="132"/>
    </row>
    <row r="47">
      <c r="C47" s="128"/>
    </row>
    <row r="48">
      <c r="C48" s="128"/>
    </row>
    <row r="49">
      <c r="C49" s="128"/>
    </row>
    <row r="50">
      <c r="C50" s="128"/>
    </row>
    <row r="51">
      <c r="C51" s="128"/>
    </row>
    <row r="52">
      <c r="C52" s="128"/>
    </row>
    <row r="53">
      <c r="C53" s="128"/>
    </row>
    <row r="54">
      <c r="C54" s="131"/>
    </row>
    <row r="75">
      <c r="A75" s="43" t="s">
        <v>789</v>
      </c>
    </row>
    <row r="76">
      <c r="A76" s="43" t="s">
        <v>790</v>
      </c>
    </row>
  </sheetData>
  <mergeCells count="3">
    <mergeCell ref="A40:C40"/>
    <mergeCell ref="A41:D41"/>
    <mergeCell ref="A43:B43"/>
  </mergeCells>
  <dataValidations>
    <dataValidation type="list" allowBlank="1" showErrorMessage="1" sqref="A44">
      <formula1>'Hudl Assist Data'!$C$1:$AD$1</formula1>
    </dataValidation>
  </dataValidations>
  <drawing r:id="rId1"/>
</worksheet>
</file>